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b708f7f1cf44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line Raw Data" sheetId="1" r:id="R4ba5e97edd3441ef"/>
    <x:sheet xmlns:r="http://schemas.openxmlformats.org/officeDocument/2006/relationships" name="Baseline Summary" sheetId="2" r:id="R3529f122272d4ce2"/>
    <x:sheet xmlns:r="http://schemas.openxmlformats.org/officeDocument/2006/relationships" name="Daily Observations" sheetId="3" r:id="R00c53ba4298641fc"/>
    <x:sheet xmlns:r="http://schemas.openxmlformats.org/officeDocument/2006/relationships" name="Post-Exposure Raw" sheetId="4" r:id="Rcf3d7e5810e044b2"/>
    <x:sheet xmlns:r="http://schemas.openxmlformats.org/officeDocument/2006/relationships" name="Drift Analysis" sheetId="5" r:id="Rf9531fd50079435d"/>
    <x:sheet xmlns:r="http://schemas.openxmlformats.org/officeDocument/2006/relationships" name="Preliminary Checks" sheetId="6" r:id="R108a5aed588a4cf8"/>
    <x:sheet xmlns:r="http://schemas.openxmlformats.org/officeDocument/2006/relationships" name="Results Summary" sheetId="7" r:id="R1b471319761242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"/>
    <x:numFmt numFmtId="202" formatCode="yyyy-mm-dd"/>
    <x:numFmt numFmtId="203" formatCode="hh:mm"/>
  </x:numFmts>
  <x:fonts count="11">
    <x:font>
      <x:sz val="11"/>
      <x:name val="Carlito"/>
    </x:font>
    <x:font>
      <x:b/>
      <x:sz val="16"/>
      <x:color rgb="FF18323A"/>
      <x:name val="Calibri"/>
    </x:font>
    <x:font>
      <x:b/>
      <x:sz val="11"/>
      <x:color rgb="FFFFFFFF"/>
      <x:name val="Calibri"/>
    </x:font>
    <x:font>
      <x:b/>
      <x:sz val="11"/>
      <x:color rgb="FF18323A"/>
      <x:name val="Calibri"/>
    </x:font>
    <x:font>
      <x:sz val="11"/>
      <x:color rgb="FF18323A"/>
      <x:name val="Calibri"/>
    </x:font>
    <x:font>
      <x:sz val="10"/>
      <x:color rgb="FF20343A"/>
      <x:name val="Aptos"/>
    </x:font>
    <x:font>
      <x:b/>
      <x:sz val="19"/>
      <x:color rgb="FF173842"/>
      <x:name val="Aptos"/>
    </x:font>
    <x:font>
      <x:b/>
      <x:sz val="11"/>
      <x:color rgb="FF513B16"/>
      <x:name val="Aptos"/>
    </x:font>
    <x:font>
      <x:b/>
      <x:sz val="12"/>
      <x:color rgb="FFFFFFFF"/>
      <x:name val="Aptos"/>
    </x:font>
    <x:font>
      <x:b/>
      <x:sz val="10"/>
      <x:color rgb="FFFFFFFF"/>
      <x:name val="Aptos"/>
    </x:font>
    <x:font>
      <x:b/>
      <x:sz val="19"/>
      <x:color rgb="FF173842"/>
      <x:name val="Aptos Display"/>
    </x:font>
  </x:fonts>
  <x:fills count="10">
    <x:fill>
      <x:patternFill patternType="none"/>
    </x:fill>
    <x:fill>
      <x:patternFill patternType="gray125"/>
    </x:fill>
    <x:fill>
      <x:patternFill patternType="solid">
        <x:fgColor rgb="FFDDEFF0"/>
      </x:patternFill>
    </x:fill>
    <x:fill>
      <x:patternFill patternType="solid">
        <x:fgColor rgb="FF0F6B6D"/>
      </x:patternFill>
    </x:fill>
    <x:fill>
      <x:patternFill patternType="solid">
        <x:fgColor rgb="FFFFF1DB"/>
      </x:patternFill>
    </x:fill>
    <x:fill>
      <x:patternFill patternType="solid">
        <x:fgColor rgb="FFEAF2F8"/>
      </x:patternFill>
    </x:fill>
    <x:fill>
      <x:patternFill patternType="solid">
        <x:fgColor rgb="FFFFF8EA"/>
      </x:patternFill>
    </x:fill>
    <x:fill>
      <x:patternFill patternType="solid">
        <x:fgColor rgb="FFDDEFF1"/>
      </x:patternFill>
    </x:fill>
    <x:fill>
      <x:patternFill patternType="solid">
        <x:fgColor rgb="FFFFF4DE"/>
      </x:patternFill>
    </x:fill>
    <x:fill>
      <x:patternFill patternType="solid">
        <x:fgColor rgb="FF11767A"/>
      </x:patternFill>
    </x:fill>
  </x:fills>
  <x:borders count="19">
    <x:border/>
    <x:border>
      <x:left style="thin">
        <x:color rgb="FF9FBFC0"/>
      </x:left>
      <x:top style="thin">
        <x:color rgb="FF9FBFC0"/>
      </x:top>
      <x:bottom style="thin">
        <x:color rgb="FF9FBFC0"/>
      </x:bottom>
    </x:border>
    <x:border>
      <x:top style="thin">
        <x:color rgb="FF9FBFC0"/>
      </x:top>
      <x:bottom style="thin">
        <x:color rgb="FF9FBFC0"/>
      </x:bottom>
    </x:border>
    <x:border>
      <x:right style="thin">
        <x:color rgb="FF9FBFC0"/>
      </x:right>
      <x:top style="thin">
        <x:color rgb="FF9FBFC0"/>
      </x:top>
      <x:bottom style="thin">
        <x:color rgb="FF9FBFC0"/>
      </x:bottom>
    </x:border>
    <x:border>
      <x:left style="thin">
        <x:color rgb="FFD8B66B"/>
      </x:left>
      <x:top style="thin">
        <x:color rgb="FFD8B66B"/>
      </x:top>
    </x:border>
    <x:border>
      <x:top style="thin">
        <x:color rgb="FFD8B66B"/>
      </x:top>
    </x:border>
    <x:border>
      <x:right style="thin">
        <x:color rgb="FFD8B66B"/>
      </x:right>
      <x:top style="thin">
        <x:color rgb="FFD8B66B"/>
      </x:top>
    </x:border>
    <x:border>
      <x:left style="thin">
        <x:color rgb="FFD8B66B"/>
      </x:left>
      <x:bottom style="thin">
        <x:color rgb="FFD8B66B"/>
      </x:bottom>
    </x:border>
    <x:border>
      <x:bottom style="thin">
        <x:color rgb="FFD8B66B"/>
      </x:bottom>
    </x:border>
    <x:border>
      <x:right style="thin">
        <x:color rgb="FFD8B66B"/>
      </x:right>
      <x:bottom style="thin">
        <x:color rgb="FFD8B66B"/>
      </x:bottom>
    </x:border>
    <x:border>
      <x:right style="thin">
        <x:color rgb="FFB7DDE2"/>
      </x:right>
      <x:bottom style="thin">
        <x:color rgb="FFB7DDE2"/>
      </x:bottom>
    </x:border>
    <x:border>
      <x:left style="thin">
        <x:color rgb="FFB7DDE2"/>
      </x:left>
      <x:right style="thin">
        <x:color rgb="FFB7DDE2"/>
      </x:right>
      <x:bottom style="thin">
        <x:color rgb="FFB7DDE2"/>
      </x:bottom>
    </x:border>
    <x:border>
      <x:left style="thin">
        <x:color rgb="FFB7DDE2"/>
      </x:left>
      <x:bottom style="thin">
        <x:color rgb="FFB7DDE2"/>
      </x:bottom>
    </x:border>
    <x:border>
      <x:right style="thin">
        <x:color rgb="FFB7DDE2"/>
      </x:right>
      <x:top style="thin">
        <x:color rgb="FFB7DDE2"/>
      </x:top>
      <x:bottom style="thin">
        <x:color rgb="FFB7DDE2"/>
      </x:bottom>
    </x:border>
    <x:border>
      <x:left style="thin">
        <x:color rgb="FFB7DDE2"/>
      </x:left>
      <x:right style="thin">
        <x:color rgb="FFB7DDE2"/>
      </x:right>
      <x:top style="thin">
        <x:color rgb="FFB7DDE2"/>
      </x:top>
      <x:bottom style="thin">
        <x:color rgb="FFB7DDE2"/>
      </x:bottom>
    </x:border>
    <x:border>
      <x:left style="thin">
        <x:color rgb="FFB7DDE2"/>
      </x:left>
      <x:top style="thin">
        <x:color rgb="FFB7DDE2"/>
      </x:top>
      <x:bottom style="thin">
        <x:color rgb="FFB7DDE2"/>
      </x:bottom>
    </x:border>
    <x:border>
      <x:right style="thin">
        <x:color rgb="FFB7DDE2"/>
      </x:right>
      <x:top style="thin">
        <x:color rgb="FFB7DDE2"/>
      </x:top>
    </x:border>
    <x:border>
      <x:left style="thin">
        <x:color rgb="FFB7DDE2"/>
      </x:left>
      <x:right style="thin">
        <x:color rgb="FFB7DDE2"/>
      </x:right>
      <x:top style="thin">
        <x:color rgb="FFB7DDE2"/>
      </x:top>
    </x:border>
    <x:border>
      <x:left style="thin">
        <x:color rgb="FFB7DDE2"/>
      </x:left>
      <x:top style="thin">
        <x:color rgb="FFB7DDE2"/>
      </x:top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4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0" fontId="4" fillId="4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0" xfId="0" applyNumberFormat="1" applyFont="1" applyFill="1" applyBorder="1"/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/>
    <x:xf numFmtId="201" fontId="4" fillId="5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4" xfId="0" applyNumberFormat="1" applyFont="1" applyFill="1" applyBorder="1"/>
    <x:xf numFmtId="0" fontId="7" fillId="8" borderId="5" xfId="0" applyNumberFormat="1" applyFont="1" applyFill="1" applyBorder="1"/>
    <x:xf numFmtId="0" fontId="7" fillId="8" borderId="6" xfId="0" applyNumberFormat="1" applyFont="1" applyFill="1" applyBorder="1"/>
    <x:xf numFmtId="0" fontId="7" fillId="8" borderId="7" xfId="0" applyNumberFormat="1" applyFont="1" applyFill="1" applyBorder="1"/>
    <x:xf numFmtId="0" fontId="7" fillId="8" borderId="8" xfId="0" applyNumberFormat="1" applyFont="1" applyFill="1" applyBorder="1"/>
    <x:xf numFmtId="0" fontId="7" fillId="8" borderId="9" xfId="0" applyNumberFormat="1" applyFont="1" applyFill="1" applyBorder="1"/>
    <x:xf numFmtId="0" fontId="7" fillId="8" borderId="4" xfId="0" applyNumberFormat="1" applyFont="1" applyFill="1" applyBorder="1" applyAlignment="1">
      <x:alignment wrapText="1"/>
    </x:xf>
    <x:xf numFmtId="0" fontId="7" fillId="8" borderId="5" xfId="0" applyNumberFormat="1" applyFont="1" applyFill="1" applyBorder="1" applyAlignment="1">
      <x:alignment wrapText="1"/>
    </x:xf>
    <x:xf numFmtId="0" fontId="7" fillId="8" borderId="6" xfId="0" applyNumberFormat="1" applyFont="1" applyFill="1" applyBorder="1" applyAlignment="1">
      <x:alignment wrapText="1"/>
    </x:xf>
    <x:xf numFmtId="0" fontId="7" fillId="8" borderId="7" xfId="0" applyNumberFormat="1" applyFont="1" applyFill="1" applyBorder="1" applyAlignment="1">
      <x:alignment wrapText="1"/>
    </x:xf>
    <x:xf numFmtId="0" fontId="7" fillId="8" borderId="8" xfId="0" applyNumberFormat="1" applyFont="1" applyFill="1" applyBorder="1" applyAlignment="1">
      <x:alignment wrapText="1"/>
    </x:xf>
    <x:xf numFmtId="0" fontId="7" fillId="8" borderId="9" xfId="0" applyNumberFormat="1" applyFont="1" applyFill="1" applyBorder="1" applyAlignment="1">
      <x:alignment wrapText="1"/>
    </x:xf>
    <x:xf numFmtId="0" fontId="7" fillId="8" borderId="4" xfId="0" applyNumberFormat="1" applyFont="1" applyFill="1" applyBorder="1" applyAlignment="1">
      <x:alignment vertical="center" wrapText="1"/>
    </x:xf>
    <x:xf numFmtId="0" fontId="7" fillId="8" borderId="5" xfId="0" applyNumberFormat="1" applyFont="1" applyFill="1" applyBorder="1" applyAlignment="1">
      <x:alignment vertical="center" wrapText="1"/>
    </x:xf>
    <x:xf numFmtId="0" fontId="7" fillId="8" borderId="6" xfId="0" applyNumberFormat="1" applyFont="1" applyFill="1" applyBorder="1" applyAlignment="1">
      <x:alignment vertical="center" wrapText="1"/>
    </x:xf>
    <x:xf numFmtId="0" fontId="7" fillId="8" borderId="7" xfId="0" applyNumberFormat="1" applyFont="1" applyFill="1" applyBorder="1" applyAlignment="1">
      <x:alignment vertical="center" wrapText="1"/>
    </x:xf>
    <x:xf numFmtId="0" fontId="7" fillId="8" borderId="8" xfId="0" applyNumberFormat="1" applyFont="1" applyFill="1" applyBorder="1" applyAlignment="1">
      <x:alignment vertical="center" wrapText="1"/>
    </x:xf>
    <x:xf numFmtId="0" fontId="7" fillId="8" borderId="9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/>
    <x:xf numFmtId="0" fontId="8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8" xfId="0" applyNumberFormat="1" applyFont="1" applyFill="1" applyBorder="1"/>
    <x:xf numFmtId="201" fontId="5" fillId="0" borderId="11" xfId="0" applyNumberFormat="1" applyFont="1" applyFill="1" applyBorder="1"/>
    <x:xf numFmtId="201" fontId="5" fillId="0" borderId="12" xfId="0" applyNumberFormat="1" applyFont="1" applyFill="1" applyBorder="1"/>
    <x:xf numFmtId="201" fontId="5" fillId="0" borderId="14" xfId="0" applyNumberFormat="1" applyFont="1" applyFill="1" applyBorder="1"/>
    <x:xf numFmtId="201" fontId="5" fillId="0" borderId="15" xfId="0" applyNumberFormat="1" applyFont="1" applyFill="1" applyBorder="1"/>
    <x:xf numFmtId="201" fontId="5" fillId="0" borderId="17" xfId="0" applyNumberFormat="1" applyFont="1" applyFill="1" applyBorder="1"/>
    <x:xf numFmtId="201" fontId="5" fillId="0" borderId="18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>
          <x:bgColor rgb="FFDFF2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b8a7b05458431a" /><Relationship Type="http://schemas.openxmlformats.org/officeDocument/2006/relationships/theme" Target="/xl/theme/theme1.xml" Id="R220de5c405394036" /><Relationship Type="http://schemas.openxmlformats.org/officeDocument/2006/relationships/sharedStrings" Target="/xl/sharedStrings.xml" Id="Rca6c114f2e334e41" /><Relationship Type="http://schemas.openxmlformats.org/officeDocument/2006/relationships/worksheet" Target="/xl/worksheets/sheet1.xml" Id="R4ba5e97edd3441ef" /><Relationship Type="http://schemas.openxmlformats.org/officeDocument/2006/relationships/worksheet" Target="/xl/worksheets/sheet2.xml" Id="R3529f122272d4ce2" /><Relationship Type="http://schemas.openxmlformats.org/officeDocument/2006/relationships/worksheet" Target="/xl/worksheets/sheet3.xml" Id="R00c53ba4298641fc" /><Relationship Type="http://schemas.openxmlformats.org/officeDocument/2006/relationships/worksheet" Target="/xl/worksheets/sheet4.xml" Id="Rcf3d7e5810e044b2" /><Relationship Type="http://schemas.openxmlformats.org/officeDocument/2006/relationships/worksheet" Target="/xl/worksheets/sheet5.xml" Id="Rf9531fd50079435d" /><Relationship Type="http://schemas.openxmlformats.org/officeDocument/2006/relationships/worksheet" Target="/xl/worksheets/sheet6.xml" Id="R108a5aed588a4cf8" /><Relationship Type="http://schemas.openxmlformats.org/officeDocument/2006/relationships/worksheet" Target="/xl/worksheets/sheet7.xml" Id="R1b471319761242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79f05d38a77403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Drift varied by sensor and moisture condition (ADC)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20 g drift</c:v>
          </c:tx>
          <c:spPr>
            <a:solidFill xmlns:a="http://schemas.openxmlformats.org/drawingml/2006/main">
              <a:srgbClr val="0F7B7E"/>
            </a:solidFill>
          </c:spPr>
          <c:cat>
            <c:strRef>
              <c:f>'Results Summary'!$A$8:$A$11</c:f>
              <c:strCache>
                <c:ptCount val="0"/>
              </c:strCache>
            </c:strRef>
          </c:cat>
          <c:val>
            <c:numRef>
              <c:f>'Results Summary'!$E$8:$E$11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40 g drift</c:v>
          </c:tx>
          <c:spPr>
            <a:solidFill xmlns:a="http://schemas.openxmlformats.org/drawingml/2006/main">
              <a:srgbClr val="E2A33B"/>
            </a:solidFill>
          </c:spPr>
          <c:cat>
            <c:strRef>
              <c:f>'Results Summary'!$A$8:$A$11</c:f>
              <c:strCache>
                <c:ptCount val="0"/>
              </c:strCache>
            </c:strRef>
          </c:cat>
          <c:val>
            <c:numRef>
              <c:f>'Results Summary'!$F$8:$F$11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ADC drift (post − baseline)</a:t>
                </a:r>
              </a:p>
            </c:rich>
          </c:tx>
          <c:overlay val="0"/>
        </c:title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5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9f05d38a77403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selineRawTable" displayName="BaselineRawTable" ref="A2:I62" headerRowCount="1" totalsRowCount="0" totalsRowShown="0">
  <x:tableColumns count="9">
    <x:tableColumn id="1" name="Record ID"/>
    <x:tableColumn id="2" name="Group"/>
    <x:tableColumn id="3" name="Sensor ID"/>
    <x:tableColumn id="4" name="Exposure liquid"/>
    <x:tableColumn id="5" name="Water added (g)"/>
    <x:tableColumn id="6" name="Trial"/>
    <x:tableColumn id="7" name="ADC reading"/>
    <x:tableColumn id="8" name="Data status"/>
    <x:tableColumn id="9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selineSummaryTable" displayName="BaselineSummaryTable" ref="A2:J14" headerRowCount="1" totalsRowCount="0" totalsRowShown="0">
  <x:tableColumns count="10">
    <x:tableColumn id="1" name="Group"/>
    <x:tableColumn id="2" name="Sensor ID"/>
    <x:tableColumn id="3" name="Exposure liquid"/>
    <x:tableColumn id="4" name="Water added (g)"/>
    <x:tableColumn id="5" name="N"/>
    <x:tableColumn id="6" name="Mean ADC"/>
    <x:tableColumn id="7" name="Sample SD"/>
    <x:tableColumn id="8" name="Minimum"/>
    <x:tableColumn id="9" name="Maximum"/>
    <x:tableColumn id="10" name="Ran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bservationLogTable" displayName="ObservationLogTable" ref="A2:N26" headerRowCount="1" totalsRowCount="0" totalsRowShown="0">
  <x:tableColumns count="14">
    <x:tableColumn id="1" name="Day"/>
    <x:tableColumn id="2" name="Elapsed time (h)"/>
    <x:tableColumn id="3" name="Date"/>
    <x:tableColumn id="4" name="Time"/>
    <x:tableColumn id="5" name="Sensor ID"/>
    <x:tableColumn id="6" name="Group"/>
    <x:tableColumn id="7" name="Exposure liquid"/>
    <x:tableColumn id="8" name="Liquid level"/>
    <x:tableColumn id="9" name="Color change"/>
    <x:tableColumn id="10" name="Rust/corrosion"/>
    <x:tableColumn id="11" name="Deposits"/>
    <x:tableColumn id="12" name="Electrode condition score (0-4)"/>
    <x:tableColumn id="13" name="Photo filename"/>
    <x:tableColumn id="14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ostExposureRawTable" displayName="PostExposureRawTable" ref="A2:I62" headerRowCount="1" totalsRowCount="0" totalsRowShown="0">
  <x:tableColumns count="9">
    <x:tableColumn id="1" name="Record ID"/>
    <x:tableColumn id="2" name="Group"/>
    <x:tableColumn id="3" name="Sensor ID"/>
    <x:tableColumn id="4" name="Exposure liquid"/>
    <x:tableColumn id="5" name="Water added (g)"/>
    <x:tableColumn id="6" name="Trial"/>
    <x:tableColumn id="7" name="ADC reading"/>
    <x:tableColumn id="8" name="Data status"/>
    <x:tableColumn id="9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riftAnalysisTable" displayName="DriftAnalysisTable" ref="A2:J14" headerRowCount="1" totalsRowCount="0" totalsRowShown="0">
  <x:tableColumns count="10">
    <x:tableColumn id="1" name="Group"/>
    <x:tableColumn id="2" name="Sensor ID"/>
    <x:tableColumn id="3" name="Exposure liquid"/>
    <x:tableColumn id="4" name="Water added (g)"/>
    <x:tableColumn id="5" name="Baseline mean ADC"/>
    <x:tableColumn id="6" name="Post mean ADC"/>
    <x:tableColumn id="7" name="Drift (post − baseline)"/>
    <x:tableColumn id="8" name="Absolute drift"/>
    <x:tableColumn id="9" name="Baseline SD"/>
    <x:tableColumn id="10" name="Post S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eliminaryChecksTable" displayName="PreliminaryChecksTable" ref="A2:H7" headerRowCount="1" totalsRowCount="0" totalsRowShown="0">
  <x:tableColumns count="8">
    <x:tableColumn id="1" name="Sensor ID"/>
    <x:tableColumn id="2" name="Condition"/>
    <x:tableColumn id="3" name="Check description"/>
    <x:tableColumn id="4" name="Reading 1"/>
    <x:tableColumn id="5" name="Reading 2"/>
    <x:tableColumn id="6" name="Reading 3"/>
    <x:tableColumn id="7" name="Reading 4"/>
    <x:tableColumn id="8" name="Reading 5 / notes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5ca6c1be6748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9bede0faad4d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9a80fa4f91a48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69a5c153ae041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fb561a5003a42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a3eb001bef44c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b7a75945d18242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1" hidden="0" customWidth="1"/>
    <x:col min="4" max="4" width="21" hidden="0" customWidth="1"/>
    <x:col min="5" max="5" width="15" hidden="0" customWidth="1"/>
    <x:col min="6" max="6" width="6.110000133514404" hidden="0" customWidth="1"/>
    <x:col min="7" max="7" width="12.5600004196167" hidden="0" customWidth="1"/>
    <x:col min="8" max="8" width="18" hidden="0" customWidth="1"/>
    <x:col min="9" max="9" width="28" hidden="0" customWidth="1"/>
  </x:cols>
  <x:sheetData>
    <x:row r="1" ht="30" customHeight="1">
      <x:c r="A1" s="46" t="str">
        <x:v>Pre-Exposure Baseline Raw Data</x:v>
      </x:c>
      <x:c r="B1" s="46"/>
      <x:c r="C1" s="46"/>
      <x:c r="D1" s="46"/>
      <x:c r="E1" s="46"/>
      <x:c r="F1" s="46"/>
      <x:c r="G1" s="46"/>
      <x:c r="H1" s="46"/>
      <x:c r="I1" s="46"/>
    </x:row>
    <x:row r="2" ht="34" customHeight="1">
      <x:c r="A2" s="8" t="str">
        <x:v>Record ID</x:v>
      </x:c>
      <x:c r="B2" s="9" t="str">
        <x:v>Group</x:v>
      </x:c>
      <x:c r="C2" s="9" t="str">
        <x:v>Sensor ID</x:v>
      </x:c>
      <x:c r="D2" s="9" t="str">
        <x:v>Exposure liquid</x:v>
      </x:c>
      <x:c r="E2" s="9" t="str">
        <x:v>Water added (g)</x:v>
      </x:c>
      <x:c r="F2" s="9" t="str">
        <x:v>Trial</x:v>
      </x:c>
      <x:c r="G2" s="9" t="str">
        <x:v>ADC reading</x:v>
      </x:c>
      <x:c r="H2" s="9" t="str">
        <x:v>Data status</x:v>
      </x:c>
      <x:c r="I2" s="10" t="str">
        <x:v>Note</x:v>
      </x:c>
    </x:row>
    <x:row r="3">
      <x:c r="A3" s="28" t="n">
        <x:v>1</x:v>
      </x:c>
      <x:c r="B3" s="29" t="str">
        <x:v>Saline exposure</x:v>
      </x:c>
      <x:c r="C3" s="29" t="str">
        <x:v>S1</x:v>
      </x:c>
      <x:c r="D3" s="29" t="str">
        <x:v>3.5% NaCl solution</x:v>
      </x:c>
      <x:c r="E3" s="28" t="n">
        <x:v>0</x:v>
      </x:c>
      <x:c r="F3" s="28" t="n">
        <x:v>1</x:v>
      </x:c>
      <x:c r="G3" s="28" t="n">
        <x:v>3923</x:v>
      </x:c>
      <x:c r="H3" s="29" t="str">
        <x:v>Formal baseline</x:v>
      </x:c>
      <x:c r="I3" s="29" t="str"/>
    </x:row>
    <x:row r="4">
      <x:c r="A4" s="28" t="n">
        <x:v>2</x:v>
      </x:c>
      <x:c r="B4" s="29" t="str">
        <x:v>Saline exposure</x:v>
      </x:c>
      <x:c r="C4" s="29" t="str">
        <x:v>S1</x:v>
      </x:c>
      <x:c r="D4" s="29" t="str">
        <x:v>3.5% NaCl solution</x:v>
      </x:c>
      <x:c r="E4" s="28" t="n">
        <x:v>0</x:v>
      </x:c>
      <x:c r="F4" s="28" t="n">
        <x:v>2</x:v>
      </x:c>
      <x:c r="G4" s="28" t="n">
        <x:v>3920</x:v>
      </x:c>
      <x:c r="H4" s="29" t="str">
        <x:v>Formal baseline</x:v>
      </x:c>
      <x:c r="I4" s="29" t="str"/>
    </x:row>
    <x:row r="5">
      <x:c r="A5" s="28" t="n">
        <x:v>3</x:v>
      </x:c>
      <x:c r="B5" s="29" t="str">
        <x:v>Saline exposure</x:v>
      </x:c>
      <x:c r="C5" s="29" t="str">
        <x:v>S1</x:v>
      </x:c>
      <x:c r="D5" s="29" t="str">
        <x:v>3.5% NaCl solution</x:v>
      </x:c>
      <x:c r="E5" s="28" t="n">
        <x:v>0</x:v>
      </x:c>
      <x:c r="F5" s="28" t="n">
        <x:v>3</x:v>
      </x:c>
      <x:c r="G5" s="28" t="n">
        <x:v>3920</x:v>
      </x:c>
      <x:c r="H5" s="29" t="str">
        <x:v>Formal baseline</x:v>
      </x:c>
      <x:c r="I5" s="29" t="str"/>
    </x:row>
    <x:row r="6">
      <x:c r="A6" s="28" t="n">
        <x:v>4</x:v>
      </x:c>
      <x:c r="B6" s="29" t="str">
        <x:v>Saline exposure</x:v>
      </x:c>
      <x:c r="C6" s="29" t="str">
        <x:v>S1</x:v>
      </x:c>
      <x:c r="D6" s="29" t="str">
        <x:v>3.5% NaCl solution</x:v>
      </x:c>
      <x:c r="E6" s="28" t="n">
        <x:v>0</x:v>
      </x:c>
      <x:c r="F6" s="28" t="n">
        <x:v>4</x:v>
      </x:c>
      <x:c r="G6" s="28" t="n">
        <x:v>3923</x:v>
      </x:c>
      <x:c r="H6" s="29" t="str">
        <x:v>Formal baseline</x:v>
      </x:c>
      <x:c r="I6" s="29" t="str"/>
    </x:row>
    <x:row r="7">
      <x:c r="A7" s="28" t="n">
        <x:v>5</x:v>
      </x:c>
      <x:c r="B7" s="29" t="str">
        <x:v>Saline exposure</x:v>
      </x:c>
      <x:c r="C7" s="29" t="str">
        <x:v>S1</x:v>
      </x:c>
      <x:c r="D7" s="29" t="str">
        <x:v>3.5% NaCl solution</x:v>
      </x:c>
      <x:c r="E7" s="28" t="n">
        <x:v>0</x:v>
      </x:c>
      <x:c r="F7" s="28" t="n">
        <x:v>5</x:v>
      </x:c>
      <x:c r="G7" s="28" t="n">
        <x:v>3926</x:v>
      </x:c>
      <x:c r="H7" s="29" t="str">
        <x:v>Formal baseline</x:v>
      </x:c>
      <x:c r="I7" s="29" t="str"/>
    </x:row>
    <x:row r="8">
      <x:c r="A8" s="28" t="n">
        <x:v>6</x:v>
      </x:c>
      <x:c r="B8" s="29" t="str">
        <x:v>Saline exposure</x:v>
      </x:c>
      <x:c r="C8" s="29" t="str">
        <x:v>S1</x:v>
      </x:c>
      <x:c r="D8" s="29" t="str">
        <x:v>3.5% NaCl solution</x:v>
      </x:c>
      <x:c r="E8" s="28" t="n">
        <x:v>20</x:v>
      </x:c>
      <x:c r="F8" s="28" t="n">
        <x:v>1</x:v>
      </x:c>
      <x:c r="G8" s="28" t="n">
        <x:v>1013</x:v>
      </x:c>
      <x:c r="H8" s="29" t="str">
        <x:v>Formal baseline</x:v>
      </x:c>
      <x:c r="I8" s="29" t="str"/>
    </x:row>
    <x:row r="9">
      <x:c r="A9" s="28" t="n">
        <x:v>7</x:v>
      </x:c>
      <x:c r="B9" s="29" t="str">
        <x:v>Saline exposure</x:v>
      </x:c>
      <x:c r="C9" s="29" t="str">
        <x:v>S1</x:v>
      </x:c>
      <x:c r="D9" s="29" t="str">
        <x:v>3.5% NaCl solution</x:v>
      </x:c>
      <x:c r="E9" s="28" t="n">
        <x:v>20</x:v>
      </x:c>
      <x:c r="F9" s="28" t="n">
        <x:v>2</x:v>
      </x:c>
      <x:c r="G9" s="28" t="n">
        <x:v>1010</x:v>
      </x:c>
      <x:c r="H9" s="29" t="str">
        <x:v>Formal baseline</x:v>
      </x:c>
      <x:c r="I9" s="29" t="str"/>
    </x:row>
    <x:row r="10">
      <x:c r="A10" s="28" t="n">
        <x:v>8</x:v>
      </x:c>
      <x:c r="B10" s="29" t="str">
        <x:v>Saline exposure</x:v>
      </x:c>
      <x:c r="C10" s="29" t="str">
        <x:v>S1</x:v>
      </x:c>
      <x:c r="D10" s="29" t="str">
        <x:v>3.5% NaCl solution</x:v>
      </x:c>
      <x:c r="E10" s="28" t="n">
        <x:v>20</x:v>
      </x:c>
      <x:c r="F10" s="28" t="n">
        <x:v>3</x:v>
      </x:c>
      <x:c r="G10" s="28" t="n">
        <x:v>1008</x:v>
      </x:c>
      <x:c r="H10" s="29" t="str">
        <x:v>Formal baseline</x:v>
      </x:c>
      <x:c r="I10" s="29" t="str"/>
    </x:row>
    <x:row r="11">
      <x:c r="A11" s="28" t="n">
        <x:v>9</x:v>
      </x:c>
      <x:c r="B11" s="29" t="str">
        <x:v>Saline exposure</x:v>
      </x:c>
      <x:c r="C11" s="29" t="str">
        <x:v>S1</x:v>
      </x:c>
      <x:c r="D11" s="29" t="str">
        <x:v>3.5% NaCl solution</x:v>
      </x:c>
      <x:c r="E11" s="28" t="n">
        <x:v>20</x:v>
      </x:c>
      <x:c r="F11" s="28" t="n">
        <x:v>4</x:v>
      </x:c>
      <x:c r="G11" s="28" t="n">
        <x:v>1008</x:v>
      </x:c>
      <x:c r="H11" s="29" t="str">
        <x:v>Formal baseline</x:v>
      </x:c>
      <x:c r="I11" s="29" t="str"/>
    </x:row>
    <x:row r="12">
      <x:c r="A12" s="28" t="n">
        <x:v>10</x:v>
      </x:c>
      <x:c r="B12" s="29" t="str">
        <x:v>Saline exposure</x:v>
      </x:c>
      <x:c r="C12" s="29" t="str">
        <x:v>S1</x:v>
      </x:c>
      <x:c r="D12" s="29" t="str">
        <x:v>3.5% NaCl solution</x:v>
      </x:c>
      <x:c r="E12" s="28" t="n">
        <x:v>20</x:v>
      </x:c>
      <x:c r="F12" s="28" t="n">
        <x:v>5</x:v>
      </x:c>
      <x:c r="G12" s="28" t="n">
        <x:v>1006</x:v>
      </x:c>
      <x:c r="H12" s="29" t="str">
        <x:v>Formal baseline</x:v>
      </x:c>
      <x:c r="I12" s="29" t="str"/>
    </x:row>
    <x:row r="13">
      <x:c r="A13" s="28" t="n">
        <x:v>11</x:v>
      </x:c>
      <x:c r="B13" s="29" t="str">
        <x:v>Saline exposure</x:v>
      </x:c>
      <x:c r="C13" s="29" t="str">
        <x:v>S1</x:v>
      </x:c>
      <x:c r="D13" s="29" t="str">
        <x:v>3.5% NaCl solution</x:v>
      </x:c>
      <x:c r="E13" s="28" t="n">
        <x:v>40</x:v>
      </x:c>
      <x:c r="F13" s="28" t="n">
        <x:v>1</x:v>
      </x:c>
      <x:c r="G13" s="28" t="n">
        <x:v>661</x:v>
      </x:c>
      <x:c r="H13" s="29" t="str">
        <x:v>Formal baseline</x:v>
      </x:c>
      <x:c r="I13" s="29" t="str"/>
    </x:row>
    <x:row r="14">
      <x:c r="A14" s="28" t="n">
        <x:v>12</x:v>
      </x:c>
      <x:c r="B14" s="29" t="str">
        <x:v>Saline exposure</x:v>
      </x:c>
      <x:c r="C14" s="29" t="str">
        <x:v>S1</x:v>
      </x:c>
      <x:c r="D14" s="29" t="str">
        <x:v>3.5% NaCl solution</x:v>
      </x:c>
      <x:c r="E14" s="28" t="n">
        <x:v>40</x:v>
      </x:c>
      <x:c r="F14" s="28" t="n">
        <x:v>2</x:v>
      </x:c>
      <x:c r="G14" s="28" t="n">
        <x:v>660</x:v>
      </x:c>
      <x:c r="H14" s="29" t="str">
        <x:v>Formal baseline</x:v>
      </x:c>
      <x:c r="I14" s="29" t="str"/>
    </x:row>
    <x:row r="15">
      <x:c r="A15" s="28" t="n">
        <x:v>13</x:v>
      </x:c>
      <x:c r="B15" s="29" t="str">
        <x:v>Saline exposure</x:v>
      </x:c>
      <x:c r="C15" s="29" t="str">
        <x:v>S1</x:v>
      </x:c>
      <x:c r="D15" s="29" t="str">
        <x:v>3.5% NaCl solution</x:v>
      </x:c>
      <x:c r="E15" s="28" t="n">
        <x:v>40</x:v>
      </x:c>
      <x:c r="F15" s="28" t="n">
        <x:v>3</x:v>
      </x:c>
      <x:c r="G15" s="28" t="n">
        <x:v>659</x:v>
      </x:c>
      <x:c r="H15" s="29" t="str">
        <x:v>Formal baseline</x:v>
      </x:c>
      <x:c r="I15" s="29" t="str"/>
    </x:row>
    <x:row r="16">
      <x:c r="A16" s="28" t="n">
        <x:v>14</x:v>
      </x:c>
      <x:c r="B16" s="29" t="str">
        <x:v>Saline exposure</x:v>
      </x:c>
      <x:c r="C16" s="29" t="str">
        <x:v>S1</x:v>
      </x:c>
      <x:c r="D16" s="29" t="str">
        <x:v>3.5% NaCl solution</x:v>
      </x:c>
      <x:c r="E16" s="28" t="n">
        <x:v>40</x:v>
      </x:c>
      <x:c r="F16" s="28" t="n">
        <x:v>4</x:v>
      </x:c>
      <x:c r="G16" s="28" t="n">
        <x:v>656</x:v>
      </x:c>
      <x:c r="H16" s="29" t="str">
        <x:v>Formal baseline</x:v>
      </x:c>
      <x:c r="I16" s="29" t="str"/>
    </x:row>
    <x:row r="17">
      <x:c r="A17" s="28" t="n">
        <x:v>15</x:v>
      </x:c>
      <x:c r="B17" s="29" t="str">
        <x:v>Saline exposure</x:v>
      </x:c>
      <x:c r="C17" s="29" t="str">
        <x:v>S1</x:v>
      </x:c>
      <x:c r="D17" s="29" t="str">
        <x:v>3.5% NaCl solution</x:v>
      </x:c>
      <x:c r="E17" s="28" t="n">
        <x:v>40</x:v>
      </x:c>
      <x:c r="F17" s="28" t="n">
        <x:v>5</x:v>
      </x:c>
      <x:c r="G17" s="28" t="n">
        <x:v>655</x:v>
      </x:c>
      <x:c r="H17" s="29" t="str">
        <x:v>Formal baseline</x:v>
      </x:c>
      <x:c r="I17" s="29" t="str"/>
    </x:row>
    <x:row r="18">
      <x:c r="A18" s="28" t="n">
        <x:v>16</x:v>
      </x:c>
      <x:c r="B18" s="29" t="str">
        <x:v>Saline exposure</x:v>
      </x:c>
      <x:c r="C18" s="29" t="str">
        <x:v>S2</x:v>
      </x:c>
      <x:c r="D18" s="29" t="str">
        <x:v>3.5% NaCl solution</x:v>
      </x:c>
      <x:c r="E18" s="28" t="n">
        <x:v>0</x:v>
      </x:c>
      <x:c r="F18" s="28" t="n">
        <x:v>1</x:v>
      </x:c>
      <x:c r="G18" s="28" t="n">
        <x:v>4095</x:v>
      </x:c>
      <x:c r="H18" s="29" t="str">
        <x:v>Formal baseline</x:v>
      </x:c>
      <x:c r="I18" s="29" t="str">
        <x:v>Dry-end ADC ceiling reading</x:v>
      </x:c>
    </x:row>
    <x:row r="19">
      <x:c r="A19" s="28" t="n">
        <x:v>17</x:v>
      </x:c>
      <x:c r="B19" s="29" t="str">
        <x:v>Saline exposure</x:v>
      </x:c>
      <x:c r="C19" s="29" t="str">
        <x:v>S2</x:v>
      </x:c>
      <x:c r="D19" s="29" t="str">
        <x:v>3.5% NaCl solution</x:v>
      </x:c>
      <x:c r="E19" s="28" t="n">
        <x:v>0</x:v>
      </x:c>
      <x:c r="F19" s="28" t="n">
        <x:v>2</x:v>
      </x:c>
      <x:c r="G19" s="28" t="n">
        <x:v>4095</x:v>
      </x:c>
      <x:c r="H19" s="29" t="str">
        <x:v>Formal baseline</x:v>
      </x:c>
      <x:c r="I19" s="29" t="str">
        <x:v>Dry-end ADC ceiling reading</x:v>
      </x:c>
    </x:row>
    <x:row r="20">
      <x:c r="A20" s="28" t="n">
        <x:v>18</x:v>
      </x:c>
      <x:c r="B20" s="29" t="str">
        <x:v>Saline exposure</x:v>
      </x:c>
      <x:c r="C20" s="29" t="str">
        <x:v>S2</x:v>
      </x:c>
      <x:c r="D20" s="29" t="str">
        <x:v>3.5% NaCl solution</x:v>
      </x:c>
      <x:c r="E20" s="28" t="n">
        <x:v>0</x:v>
      </x:c>
      <x:c r="F20" s="28" t="n">
        <x:v>3</x:v>
      </x:c>
      <x:c r="G20" s="28" t="n">
        <x:v>4095</x:v>
      </x:c>
      <x:c r="H20" s="29" t="str">
        <x:v>Formal baseline</x:v>
      </x:c>
      <x:c r="I20" s="29" t="str">
        <x:v>Dry-end ADC ceiling reading</x:v>
      </x:c>
    </x:row>
    <x:row r="21">
      <x:c r="A21" s="28" t="n">
        <x:v>19</x:v>
      </x:c>
      <x:c r="B21" s="29" t="str">
        <x:v>Saline exposure</x:v>
      </x:c>
      <x:c r="C21" s="29" t="str">
        <x:v>S2</x:v>
      </x:c>
      <x:c r="D21" s="29" t="str">
        <x:v>3.5% NaCl solution</x:v>
      </x:c>
      <x:c r="E21" s="28" t="n">
        <x:v>0</x:v>
      </x:c>
      <x:c r="F21" s="28" t="n">
        <x:v>4</x:v>
      </x:c>
      <x:c r="G21" s="28" t="n">
        <x:v>4095</x:v>
      </x:c>
      <x:c r="H21" s="29" t="str">
        <x:v>Formal baseline</x:v>
      </x:c>
      <x:c r="I21" s="29" t="str">
        <x:v>Dry-end ADC ceiling reading</x:v>
      </x:c>
    </x:row>
    <x:row r="22">
      <x:c r="A22" s="28" t="n">
        <x:v>20</x:v>
      </x:c>
      <x:c r="B22" s="29" t="str">
        <x:v>Saline exposure</x:v>
      </x:c>
      <x:c r="C22" s="29" t="str">
        <x:v>S2</x:v>
      </x:c>
      <x:c r="D22" s="29" t="str">
        <x:v>3.5% NaCl solution</x:v>
      </x:c>
      <x:c r="E22" s="28" t="n">
        <x:v>0</x:v>
      </x:c>
      <x:c r="F22" s="28" t="n">
        <x:v>5</x:v>
      </x:c>
      <x:c r="G22" s="28" t="n">
        <x:v>4095</x:v>
      </x:c>
      <x:c r="H22" s="29" t="str">
        <x:v>Formal baseline</x:v>
      </x:c>
      <x:c r="I22" s="29" t="str">
        <x:v>Dry-end ADC ceiling reading</x:v>
      </x:c>
    </x:row>
    <x:row r="23">
      <x:c r="A23" s="28" t="n">
        <x:v>21</x:v>
      </x:c>
      <x:c r="B23" s="29" t="str">
        <x:v>Saline exposure</x:v>
      </x:c>
      <x:c r="C23" s="29" t="str">
        <x:v>S2</x:v>
      </x:c>
      <x:c r="D23" s="29" t="str">
        <x:v>3.5% NaCl solution</x:v>
      </x:c>
      <x:c r="E23" s="28" t="n">
        <x:v>20</x:v>
      </x:c>
      <x:c r="F23" s="28" t="n">
        <x:v>1</x:v>
      </x:c>
      <x:c r="G23" s="28" t="n">
        <x:v>1134</x:v>
      </x:c>
      <x:c r="H23" s="29" t="str">
        <x:v>Formal baseline</x:v>
      </x:c>
      <x:c r="I23" s="29" t="str"/>
    </x:row>
    <x:row r="24">
      <x:c r="A24" s="28" t="n">
        <x:v>22</x:v>
      </x:c>
      <x:c r="B24" s="29" t="str">
        <x:v>Saline exposure</x:v>
      </x:c>
      <x:c r="C24" s="29" t="str">
        <x:v>S2</x:v>
      </x:c>
      <x:c r="D24" s="29" t="str">
        <x:v>3.5% NaCl solution</x:v>
      </x:c>
      <x:c r="E24" s="28" t="n">
        <x:v>20</x:v>
      </x:c>
      <x:c r="F24" s="28" t="n">
        <x:v>2</x:v>
      </x:c>
      <x:c r="G24" s="28" t="n">
        <x:v>1131</x:v>
      </x:c>
      <x:c r="H24" s="29" t="str">
        <x:v>Formal baseline</x:v>
      </x:c>
      <x:c r="I24" s="29" t="str"/>
    </x:row>
    <x:row r="25">
      <x:c r="A25" s="28" t="n">
        <x:v>23</x:v>
      </x:c>
      <x:c r="B25" s="29" t="str">
        <x:v>Saline exposure</x:v>
      </x:c>
      <x:c r="C25" s="29" t="str">
        <x:v>S2</x:v>
      </x:c>
      <x:c r="D25" s="29" t="str">
        <x:v>3.5% NaCl solution</x:v>
      </x:c>
      <x:c r="E25" s="28" t="n">
        <x:v>20</x:v>
      </x:c>
      <x:c r="F25" s="28" t="n">
        <x:v>3</x:v>
      </x:c>
      <x:c r="G25" s="28" t="n">
        <x:v>1125</x:v>
      </x:c>
      <x:c r="H25" s="29" t="str">
        <x:v>Formal baseline</x:v>
      </x:c>
      <x:c r="I25" s="29" t="str"/>
    </x:row>
    <x:row r="26">
      <x:c r="A26" s="28" t="n">
        <x:v>24</x:v>
      </x:c>
      <x:c r="B26" s="29" t="str">
        <x:v>Saline exposure</x:v>
      </x:c>
      <x:c r="C26" s="29" t="str">
        <x:v>S2</x:v>
      </x:c>
      <x:c r="D26" s="29" t="str">
        <x:v>3.5% NaCl solution</x:v>
      </x:c>
      <x:c r="E26" s="28" t="n">
        <x:v>20</x:v>
      </x:c>
      <x:c r="F26" s="28" t="n">
        <x:v>4</x:v>
      </x:c>
      <x:c r="G26" s="28" t="n">
        <x:v>1121</x:v>
      </x:c>
      <x:c r="H26" s="29" t="str">
        <x:v>Formal baseline</x:v>
      </x:c>
      <x:c r="I26" s="29" t="str"/>
    </x:row>
    <x:row r="27">
      <x:c r="A27" s="28" t="n">
        <x:v>25</x:v>
      </x:c>
      <x:c r="B27" s="29" t="str">
        <x:v>Saline exposure</x:v>
      </x:c>
      <x:c r="C27" s="29" t="str">
        <x:v>S2</x:v>
      </x:c>
      <x:c r="D27" s="29" t="str">
        <x:v>3.5% NaCl solution</x:v>
      </x:c>
      <x:c r="E27" s="28" t="n">
        <x:v>20</x:v>
      </x:c>
      <x:c r="F27" s="28" t="n">
        <x:v>5</x:v>
      </x:c>
      <x:c r="G27" s="28" t="n">
        <x:v>1116</x:v>
      </x:c>
      <x:c r="H27" s="29" t="str">
        <x:v>Formal baseline</x:v>
      </x:c>
      <x:c r="I27" s="29" t="str"/>
    </x:row>
    <x:row r="28">
      <x:c r="A28" s="28" t="n">
        <x:v>26</x:v>
      </x:c>
      <x:c r="B28" s="29" t="str">
        <x:v>Saline exposure</x:v>
      </x:c>
      <x:c r="C28" s="29" t="str">
        <x:v>S2</x:v>
      </x:c>
      <x:c r="D28" s="29" t="str">
        <x:v>3.5% NaCl solution</x:v>
      </x:c>
      <x:c r="E28" s="28" t="n">
        <x:v>40</x:v>
      </x:c>
      <x:c r="F28" s="28" t="n">
        <x:v>1</x:v>
      </x:c>
      <x:c r="G28" s="28" t="n">
        <x:v>850</x:v>
      </x:c>
      <x:c r="H28" s="29" t="str">
        <x:v>Formal baseline</x:v>
      </x:c>
      <x:c r="I28" s="29" t="str"/>
    </x:row>
    <x:row r="29">
      <x:c r="A29" s="28" t="n">
        <x:v>27</x:v>
      </x:c>
      <x:c r="B29" s="29" t="str">
        <x:v>Saline exposure</x:v>
      </x:c>
      <x:c r="C29" s="29" t="str">
        <x:v>S2</x:v>
      </x:c>
      <x:c r="D29" s="29" t="str">
        <x:v>3.5% NaCl solution</x:v>
      </x:c>
      <x:c r="E29" s="28" t="n">
        <x:v>40</x:v>
      </x:c>
      <x:c r="F29" s="28" t="n">
        <x:v>2</x:v>
      </x:c>
      <x:c r="G29" s="28" t="n">
        <x:v>850</x:v>
      </x:c>
      <x:c r="H29" s="29" t="str">
        <x:v>Formal baseline</x:v>
      </x:c>
      <x:c r="I29" s="29" t="str"/>
    </x:row>
    <x:row r="30">
      <x:c r="A30" s="28" t="n">
        <x:v>28</x:v>
      </x:c>
      <x:c r="B30" s="29" t="str">
        <x:v>Saline exposure</x:v>
      </x:c>
      <x:c r="C30" s="29" t="str">
        <x:v>S2</x:v>
      </x:c>
      <x:c r="D30" s="29" t="str">
        <x:v>3.5% NaCl solution</x:v>
      </x:c>
      <x:c r="E30" s="28" t="n">
        <x:v>40</x:v>
      </x:c>
      <x:c r="F30" s="28" t="n">
        <x:v>3</x:v>
      </x:c>
      <x:c r="G30" s="28" t="n">
        <x:v>849</x:v>
      </x:c>
      <x:c r="H30" s="29" t="str">
        <x:v>Formal baseline</x:v>
      </x:c>
      <x:c r="I30" s="29" t="str"/>
    </x:row>
    <x:row r="31">
      <x:c r="A31" s="28" t="n">
        <x:v>29</x:v>
      </x:c>
      <x:c r="B31" s="29" t="str">
        <x:v>Saline exposure</x:v>
      </x:c>
      <x:c r="C31" s="29" t="str">
        <x:v>S2</x:v>
      </x:c>
      <x:c r="D31" s="29" t="str">
        <x:v>3.5% NaCl solution</x:v>
      </x:c>
      <x:c r="E31" s="28" t="n">
        <x:v>40</x:v>
      </x:c>
      <x:c r="F31" s="28" t="n">
        <x:v>4</x:v>
      </x:c>
      <x:c r="G31" s="28" t="n">
        <x:v>847</x:v>
      </x:c>
      <x:c r="H31" s="29" t="str">
        <x:v>Formal baseline</x:v>
      </x:c>
      <x:c r="I31" s="29" t="str"/>
    </x:row>
    <x:row r="32">
      <x:c r="A32" s="28" t="n">
        <x:v>30</x:v>
      </x:c>
      <x:c r="B32" s="29" t="str">
        <x:v>Saline exposure</x:v>
      </x:c>
      <x:c r="C32" s="29" t="str">
        <x:v>S2</x:v>
      </x:c>
      <x:c r="D32" s="29" t="str">
        <x:v>3.5% NaCl solution</x:v>
      </x:c>
      <x:c r="E32" s="28" t="n">
        <x:v>40</x:v>
      </x:c>
      <x:c r="F32" s="28" t="n">
        <x:v>5</x:v>
      </x:c>
      <x:c r="G32" s="28" t="n">
        <x:v>847</x:v>
      </x:c>
      <x:c r="H32" s="29" t="str">
        <x:v>Formal baseline</x:v>
      </x:c>
      <x:c r="I32" s="29" t="str"/>
    </x:row>
    <x:row r="33">
      <x:c r="A33" s="28" t="n">
        <x:v>31</x:v>
      </x:c>
      <x:c r="B33" s="29" t="str">
        <x:v>Water control</x:v>
      </x:c>
      <x:c r="C33" s="29" t="str">
        <x:v>C1</x:v>
      </x:c>
      <x:c r="D33" s="29" t="str">
        <x:v>Ordinary water</x:v>
      </x:c>
      <x:c r="E33" s="28" t="n">
        <x:v>0</x:v>
      </x:c>
      <x:c r="F33" s="28" t="n">
        <x:v>1</x:v>
      </x:c>
      <x:c r="G33" s="28" t="n">
        <x:v>4095</x:v>
      </x:c>
      <x:c r="H33" s="29" t="str">
        <x:v>Formal baseline</x:v>
      </x:c>
      <x:c r="I33" s="29" t="str">
        <x:v>Dry-end ADC ceiling reading</x:v>
      </x:c>
    </x:row>
    <x:row r="34">
      <x:c r="A34" s="28" t="n">
        <x:v>32</x:v>
      </x:c>
      <x:c r="B34" s="29" t="str">
        <x:v>Water control</x:v>
      </x:c>
      <x:c r="C34" s="29" t="str">
        <x:v>C1</x:v>
      </x:c>
      <x:c r="D34" s="29" t="str">
        <x:v>Ordinary water</x:v>
      </x:c>
      <x:c r="E34" s="28" t="n">
        <x:v>0</x:v>
      </x:c>
      <x:c r="F34" s="28" t="n">
        <x:v>2</x:v>
      </x:c>
      <x:c r="G34" s="28" t="n">
        <x:v>4095</x:v>
      </x:c>
      <x:c r="H34" s="29" t="str">
        <x:v>Formal baseline</x:v>
      </x:c>
      <x:c r="I34" s="29" t="str">
        <x:v>Dry-end ADC ceiling reading</x:v>
      </x:c>
    </x:row>
    <x:row r="35">
      <x:c r="A35" s="28" t="n">
        <x:v>33</x:v>
      </x:c>
      <x:c r="B35" s="29" t="str">
        <x:v>Water control</x:v>
      </x:c>
      <x:c r="C35" s="29" t="str">
        <x:v>C1</x:v>
      </x:c>
      <x:c r="D35" s="29" t="str">
        <x:v>Ordinary water</x:v>
      </x:c>
      <x:c r="E35" s="28" t="n">
        <x:v>0</x:v>
      </x:c>
      <x:c r="F35" s="28" t="n">
        <x:v>3</x:v>
      </x:c>
      <x:c r="G35" s="28" t="n">
        <x:v>4095</x:v>
      </x:c>
      <x:c r="H35" s="29" t="str">
        <x:v>Formal baseline</x:v>
      </x:c>
      <x:c r="I35" s="29" t="str">
        <x:v>Dry-end ADC ceiling reading</x:v>
      </x:c>
    </x:row>
    <x:row r="36">
      <x:c r="A36" s="28" t="n">
        <x:v>34</x:v>
      </x:c>
      <x:c r="B36" s="29" t="str">
        <x:v>Water control</x:v>
      </x:c>
      <x:c r="C36" s="29" t="str">
        <x:v>C1</x:v>
      </x:c>
      <x:c r="D36" s="29" t="str">
        <x:v>Ordinary water</x:v>
      </x:c>
      <x:c r="E36" s="28" t="n">
        <x:v>0</x:v>
      </x:c>
      <x:c r="F36" s="28" t="n">
        <x:v>4</x:v>
      </x:c>
      <x:c r="G36" s="28" t="n">
        <x:v>4095</x:v>
      </x:c>
      <x:c r="H36" s="29" t="str">
        <x:v>Formal baseline</x:v>
      </x:c>
      <x:c r="I36" s="29" t="str">
        <x:v>Dry-end ADC ceiling reading</x:v>
      </x:c>
    </x:row>
    <x:row r="37">
      <x:c r="A37" s="28" t="n">
        <x:v>35</x:v>
      </x:c>
      <x:c r="B37" s="29" t="str">
        <x:v>Water control</x:v>
      </x:c>
      <x:c r="C37" s="29" t="str">
        <x:v>C1</x:v>
      </x:c>
      <x:c r="D37" s="29" t="str">
        <x:v>Ordinary water</x:v>
      </x:c>
      <x:c r="E37" s="28" t="n">
        <x:v>0</x:v>
      </x:c>
      <x:c r="F37" s="28" t="n">
        <x:v>5</x:v>
      </x:c>
      <x:c r="G37" s="28" t="n">
        <x:v>4095</x:v>
      </x:c>
      <x:c r="H37" s="29" t="str">
        <x:v>Formal baseline</x:v>
      </x:c>
      <x:c r="I37" s="29" t="str">
        <x:v>Dry-end ADC ceiling reading</x:v>
      </x:c>
    </x:row>
    <x:row r="38">
      <x:c r="A38" s="28" t="n">
        <x:v>36</x:v>
      </x:c>
      <x:c r="B38" s="29" t="str">
        <x:v>Water control</x:v>
      </x:c>
      <x:c r="C38" s="29" t="str">
        <x:v>C1</x:v>
      </x:c>
      <x:c r="D38" s="29" t="str">
        <x:v>Ordinary water</x:v>
      </x:c>
      <x:c r="E38" s="28" t="n">
        <x:v>20</x:v>
      </x:c>
      <x:c r="F38" s="28" t="n">
        <x:v>1</x:v>
      </x:c>
      <x:c r="G38" s="28" t="n">
        <x:v>1190</x:v>
      </x:c>
      <x:c r="H38" s="29" t="str">
        <x:v>Formal baseline</x:v>
      </x:c>
      <x:c r="I38" s="29" t="str"/>
    </x:row>
    <x:row r="39">
      <x:c r="A39" s="28" t="n">
        <x:v>37</x:v>
      </x:c>
      <x:c r="B39" s="29" t="str">
        <x:v>Water control</x:v>
      </x:c>
      <x:c r="C39" s="29" t="str">
        <x:v>C1</x:v>
      </x:c>
      <x:c r="D39" s="29" t="str">
        <x:v>Ordinary water</x:v>
      </x:c>
      <x:c r="E39" s="28" t="n">
        <x:v>20</x:v>
      </x:c>
      <x:c r="F39" s="28" t="n">
        <x:v>2</x:v>
      </x:c>
      <x:c r="G39" s="28" t="n">
        <x:v>1182</x:v>
      </x:c>
      <x:c r="H39" s="29" t="str">
        <x:v>Formal baseline</x:v>
      </x:c>
      <x:c r="I39" s="29" t="str"/>
    </x:row>
    <x:row r="40">
      <x:c r="A40" s="28" t="n">
        <x:v>38</x:v>
      </x:c>
      <x:c r="B40" s="29" t="str">
        <x:v>Water control</x:v>
      </x:c>
      <x:c r="C40" s="29" t="str">
        <x:v>C1</x:v>
      </x:c>
      <x:c r="D40" s="29" t="str">
        <x:v>Ordinary water</x:v>
      </x:c>
      <x:c r="E40" s="28" t="n">
        <x:v>20</x:v>
      </x:c>
      <x:c r="F40" s="28" t="n">
        <x:v>3</x:v>
      </x:c>
      <x:c r="G40" s="28" t="n">
        <x:v>1175</x:v>
      </x:c>
      <x:c r="H40" s="29" t="str">
        <x:v>Formal baseline</x:v>
      </x:c>
      <x:c r="I40" s="29" t="str"/>
    </x:row>
    <x:row r="41">
      <x:c r="A41" s="28" t="n">
        <x:v>39</x:v>
      </x:c>
      <x:c r="B41" s="29" t="str">
        <x:v>Water control</x:v>
      </x:c>
      <x:c r="C41" s="29" t="str">
        <x:v>C1</x:v>
      </x:c>
      <x:c r="D41" s="29" t="str">
        <x:v>Ordinary water</x:v>
      </x:c>
      <x:c r="E41" s="28" t="n">
        <x:v>20</x:v>
      </x:c>
      <x:c r="F41" s="28" t="n">
        <x:v>4</x:v>
      </x:c>
      <x:c r="G41" s="28" t="n">
        <x:v>1169</x:v>
      </x:c>
      <x:c r="H41" s="29" t="str">
        <x:v>Formal baseline</x:v>
      </x:c>
      <x:c r="I41" s="29" t="str"/>
    </x:row>
    <x:row r="42">
      <x:c r="A42" s="28" t="n">
        <x:v>40</x:v>
      </x:c>
      <x:c r="B42" s="29" t="str">
        <x:v>Water control</x:v>
      </x:c>
      <x:c r="C42" s="29" t="str">
        <x:v>C1</x:v>
      </x:c>
      <x:c r="D42" s="29" t="str">
        <x:v>Ordinary water</x:v>
      </x:c>
      <x:c r="E42" s="28" t="n">
        <x:v>20</x:v>
      </x:c>
      <x:c r="F42" s="28" t="n">
        <x:v>5</x:v>
      </x:c>
      <x:c r="G42" s="28" t="n">
        <x:v>1165</x:v>
      </x:c>
      <x:c r="H42" s="29" t="str">
        <x:v>Formal baseline</x:v>
      </x:c>
      <x:c r="I42" s="29" t="str"/>
    </x:row>
    <x:row r="43">
      <x:c r="A43" s="28" t="n">
        <x:v>41</x:v>
      </x:c>
      <x:c r="B43" s="29" t="str">
        <x:v>Water control</x:v>
      </x:c>
      <x:c r="C43" s="29" t="str">
        <x:v>C1</x:v>
      </x:c>
      <x:c r="D43" s="29" t="str">
        <x:v>Ordinary water</x:v>
      </x:c>
      <x:c r="E43" s="28" t="n">
        <x:v>40</x:v>
      </x:c>
      <x:c r="F43" s="28" t="n">
        <x:v>1</x:v>
      </x:c>
      <x:c r="G43" s="28" t="n">
        <x:v>701</x:v>
      </x:c>
      <x:c r="H43" s="29" t="str">
        <x:v>Formal baseline</x:v>
      </x:c>
      <x:c r="I43" s="29" t="str"/>
    </x:row>
    <x:row r="44">
      <x:c r="A44" s="28" t="n">
        <x:v>42</x:v>
      </x:c>
      <x:c r="B44" s="29" t="str">
        <x:v>Water control</x:v>
      </x:c>
      <x:c r="C44" s="29" t="str">
        <x:v>C1</x:v>
      </x:c>
      <x:c r="D44" s="29" t="str">
        <x:v>Ordinary water</x:v>
      </x:c>
      <x:c r="E44" s="28" t="n">
        <x:v>40</x:v>
      </x:c>
      <x:c r="F44" s="28" t="n">
        <x:v>2</x:v>
      </x:c>
      <x:c r="G44" s="28" t="n">
        <x:v>699</x:v>
      </x:c>
      <x:c r="H44" s="29" t="str">
        <x:v>Formal baseline</x:v>
      </x:c>
      <x:c r="I44" s="29" t="str"/>
    </x:row>
    <x:row r="45">
      <x:c r="A45" s="28" t="n">
        <x:v>43</x:v>
      </x:c>
      <x:c r="B45" s="29" t="str">
        <x:v>Water control</x:v>
      </x:c>
      <x:c r="C45" s="29" t="str">
        <x:v>C1</x:v>
      </x:c>
      <x:c r="D45" s="29" t="str">
        <x:v>Ordinary water</x:v>
      </x:c>
      <x:c r="E45" s="28" t="n">
        <x:v>40</x:v>
      </x:c>
      <x:c r="F45" s="28" t="n">
        <x:v>3</x:v>
      </x:c>
      <x:c r="G45" s="28" t="n">
        <x:v>698</x:v>
      </x:c>
      <x:c r="H45" s="29" t="str">
        <x:v>Formal baseline</x:v>
      </x:c>
      <x:c r="I45" s="29" t="str"/>
    </x:row>
    <x:row r="46">
      <x:c r="A46" s="28" t="n">
        <x:v>44</x:v>
      </x:c>
      <x:c r="B46" s="29" t="str">
        <x:v>Water control</x:v>
      </x:c>
      <x:c r="C46" s="29" t="str">
        <x:v>C1</x:v>
      </x:c>
      <x:c r="D46" s="29" t="str">
        <x:v>Ordinary water</x:v>
      </x:c>
      <x:c r="E46" s="28" t="n">
        <x:v>40</x:v>
      </x:c>
      <x:c r="F46" s="28" t="n">
        <x:v>4</x:v>
      </x:c>
      <x:c r="G46" s="28" t="n">
        <x:v>700</x:v>
      </x:c>
      <x:c r="H46" s="29" t="str">
        <x:v>Formal baseline</x:v>
      </x:c>
      <x:c r="I46" s="29" t="str"/>
    </x:row>
    <x:row r="47">
      <x:c r="A47" s="28" t="n">
        <x:v>45</x:v>
      </x:c>
      <x:c r="B47" s="29" t="str">
        <x:v>Water control</x:v>
      </x:c>
      <x:c r="C47" s="29" t="str">
        <x:v>C1</x:v>
      </x:c>
      <x:c r="D47" s="29" t="str">
        <x:v>Ordinary water</x:v>
      </x:c>
      <x:c r="E47" s="28" t="n">
        <x:v>40</x:v>
      </x:c>
      <x:c r="F47" s="28" t="n">
        <x:v>5</x:v>
      </x:c>
      <x:c r="G47" s="28" t="n">
        <x:v>696</x:v>
      </x:c>
      <x:c r="H47" s="29" t="str">
        <x:v>Formal baseline</x:v>
      </x:c>
      <x:c r="I47" s="29" t="str"/>
    </x:row>
    <x:row r="48">
      <x:c r="A48" s="28" t="n">
        <x:v>46</x:v>
      </x:c>
      <x:c r="B48" s="29" t="str">
        <x:v>Water control</x:v>
      </x:c>
      <x:c r="C48" s="29" t="str">
        <x:v>C2</x:v>
      </x:c>
      <x:c r="D48" s="29" t="str">
        <x:v>Ordinary water</x:v>
      </x:c>
      <x:c r="E48" s="28" t="n">
        <x:v>0</x:v>
      </x:c>
      <x:c r="F48" s="28" t="n">
        <x:v>1</x:v>
      </x:c>
      <x:c r="G48" s="28" t="n">
        <x:v>4095</x:v>
      </x:c>
      <x:c r="H48" s="29" t="str">
        <x:v>Formal baseline</x:v>
      </x:c>
      <x:c r="I48" s="29" t="str">
        <x:v>Dry-end ADC ceiling reading</x:v>
      </x:c>
    </x:row>
    <x:row r="49">
      <x:c r="A49" s="28" t="n">
        <x:v>47</x:v>
      </x:c>
      <x:c r="B49" s="29" t="str">
        <x:v>Water control</x:v>
      </x:c>
      <x:c r="C49" s="29" t="str">
        <x:v>C2</x:v>
      </x:c>
      <x:c r="D49" s="29" t="str">
        <x:v>Ordinary water</x:v>
      </x:c>
      <x:c r="E49" s="28" t="n">
        <x:v>0</x:v>
      </x:c>
      <x:c r="F49" s="28" t="n">
        <x:v>2</x:v>
      </x:c>
      <x:c r="G49" s="28" t="n">
        <x:v>4095</x:v>
      </x:c>
      <x:c r="H49" s="29" t="str">
        <x:v>Formal baseline</x:v>
      </x:c>
      <x:c r="I49" s="29" t="str">
        <x:v>Dry-end ADC ceiling reading</x:v>
      </x:c>
    </x:row>
    <x:row r="50">
      <x:c r="A50" s="28" t="n">
        <x:v>48</x:v>
      </x:c>
      <x:c r="B50" s="29" t="str">
        <x:v>Water control</x:v>
      </x:c>
      <x:c r="C50" s="29" t="str">
        <x:v>C2</x:v>
      </x:c>
      <x:c r="D50" s="29" t="str">
        <x:v>Ordinary water</x:v>
      </x:c>
      <x:c r="E50" s="28" t="n">
        <x:v>0</x:v>
      </x:c>
      <x:c r="F50" s="28" t="n">
        <x:v>3</x:v>
      </x:c>
      <x:c r="G50" s="28" t="n">
        <x:v>4095</x:v>
      </x:c>
      <x:c r="H50" s="29" t="str">
        <x:v>Formal baseline</x:v>
      </x:c>
      <x:c r="I50" s="29" t="str">
        <x:v>Dry-end ADC ceiling reading</x:v>
      </x:c>
    </x:row>
    <x:row r="51">
      <x:c r="A51" s="28" t="n">
        <x:v>49</x:v>
      </x:c>
      <x:c r="B51" s="29" t="str">
        <x:v>Water control</x:v>
      </x:c>
      <x:c r="C51" s="29" t="str">
        <x:v>C2</x:v>
      </x:c>
      <x:c r="D51" s="29" t="str">
        <x:v>Ordinary water</x:v>
      </x:c>
      <x:c r="E51" s="28" t="n">
        <x:v>0</x:v>
      </x:c>
      <x:c r="F51" s="28" t="n">
        <x:v>4</x:v>
      </x:c>
      <x:c r="G51" s="28" t="n">
        <x:v>4095</x:v>
      </x:c>
      <x:c r="H51" s="29" t="str">
        <x:v>Formal baseline</x:v>
      </x:c>
      <x:c r="I51" s="29" t="str">
        <x:v>Dry-end ADC ceiling reading</x:v>
      </x:c>
    </x:row>
    <x:row r="52">
      <x:c r="A52" s="28" t="n">
        <x:v>50</x:v>
      </x:c>
      <x:c r="B52" s="29" t="str">
        <x:v>Water control</x:v>
      </x:c>
      <x:c r="C52" s="29" t="str">
        <x:v>C2</x:v>
      </x:c>
      <x:c r="D52" s="29" t="str">
        <x:v>Ordinary water</x:v>
      </x:c>
      <x:c r="E52" s="28" t="n">
        <x:v>0</x:v>
      </x:c>
      <x:c r="F52" s="28" t="n">
        <x:v>5</x:v>
      </x:c>
      <x:c r="G52" s="28" t="n">
        <x:v>4095</x:v>
      </x:c>
      <x:c r="H52" s="29" t="str">
        <x:v>Formal baseline</x:v>
      </x:c>
      <x:c r="I52" s="29" t="str">
        <x:v>Dry-end ADC ceiling reading</x:v>
      </x:c>
    </x:row>
    <x:row r="53">
      <x:c r="A53" s="28" t="n">
        <x:v>51</x:v>
      </x:c>
      <x:c r="B53" s="29" t="str">
        <x:v>Water control</x:v>
      </x:c>
      <x:c r="C53" s="29" t="str">
        <x:v>C2</x:v>
      </x:c>
      <x:c r="D53" s="29" t="str">
        <x:v>Ordinary water</x:v>
      </x:c>
      <x:c r="E53" s="28" t="n">
        <x:v>20</x:v>
      </x:c>
      <x:c r="F53" s="28" t="n">
        <x:v>1</x:v>
      </x:c>
      <x:c r="G53" s="28" t="n">
        <x:v>1006</x:v>
      </x:c>
      <x:c r="H53" s="29" t="str">
        <x:v>Formal baseline</x:v>
      </x:c>
      <x:c r="I53" s="29" t="str"/>
    </x:row>
    <x:row r="54">
      <x:c r="A54" s="28" t="n">
        <x:v>52</x:v>
      </x:c>
      <x:c r="B54" s="29" t="str">
        <x:v>Water control</x:v>
      </x:c>
      <x:c r="C54" s="29" t="str">
        <x:v>C2</x:v>
      </x:c>
      <x:c r="D54" s="29" t="str">
        <x:v>Ordinary water</x:v>
      </x:c>
      <x:c r="E54" s="28" t="n">
        <x:v>20</x:v>
      </x:c>
      <x:c r="F54" s="28" t="n">
        <x:v>2</x:v>
      </x:c>
      <x:c r="G54" s="28" t="n">
        <x:v>1006</x:v>
      </x:c>
      <x:c r="H54" s="29" t="str">
        <x:v>Formal baseline</x:v>
      </x:c>
      <x:c r="I54" s="29" t="str"/>
    </x:row>
    <x:row r="55">
      <x:c r="A55" s="28" t="n">
        <x:v>53</x:v>
      </x:c>
      <x:c r="B55" s="29" t="str">
        <x:v>Water control</x:v>
      </x:c>
      <x:c r="C55" s="29" t="str">
        <x:v>C2</x:v>
      </x:c>
      <x:c r="D55" s="29" t="str">
        <x:v>Ordinary water</x:v>
      </x:c>
      <x:c r="E55" s="28" t="n">
        <x:v>20</x:v>
      </x:c>
      <x:c r="F55" s="28" t="n">
        <x:v>3</x:v>
      </x:c>
      <x:c r="G55" s="28" t="n">
        <x:v>1006</x:v>
      </x:c>
      <x:c r="H55" s="29" t="str">
        <x:v>Formal baseline</x:v>
      </x:c>
      <x:c r="I55" s="29" t="str"/>
    </x:row>
    <x:row r="56">
      <x:c r="A56" s="28" t="n">
        <x:v>54</x:v>
      </x:c>
      <x:c r="B56" s="29" t="str">
        <x:v>Water control</x:v>
      </x:c>
      <x:c r="C56" s="29" t="str">
        <x:v>C2</x:v>
      </x:c>
      <x:c r="D56" s="29" t="str">
        <x:v>Ordinary water</x:v>
      </x:c>
      <x:c r="E56" s="28" t="n">
        <x:v>20</x:v>
      </x:c>
      <x:c r="F56" s="28" t="n">
        <x:v>4</x:v>
      </x:c>
      <x:c r="G56" s="28" t="n">
        <x:v>1007</x:v>
      </x:c>
      <x:c r="H56" s="29" t="str">
        <x:v>Formal baseline</x:v>
      </x:c>
      <x:c r="I56" s="29" t="str"/>
    </x:row>
    <x:row r="57">
      <x:c r="A57" s="28" t="n">
        <x:v>55</x:v>
      </x:c>
      <x:c r="B57" s="29" t="str">
        <x:v>Water control</x:v>
      </x:c>
      <x:c r="C57" s="29" t="str">
        <x:v>C2</x:v>
      </x:c>
      <x:c r="D57" s="29" t="str">
        <x:v>Ordinary water</x:v>
      </x:c>
      <x:c r="E57" s="28" t="n">
        <x:v>20</x:v>
      </x:c>
      <x:c r="F57" s="28" t="n">
        <x:v>5</x:v>
      </x:c>
      <x:c r="G57" s="28" t="n">
        <x:v>1007</x:v>
      </x:c>
      <x:c r="H57" s="29" t="str">
        <x:v>Formal baseline</x:v>
      </x:c>
      <x:c r="I57" s="29" t="str"/>
    </x:row>
    <x:row r="58">
      <x:c r="A58" s="28" t="n">
        <x:v>56</x:v>
      </x:c>
      <x:c r="B58" s="29" t="str">
        <x:v>Water control</x:v>
      </x:c>
      <x:c r="C58" s="29" t="str">
        <x:v>C2</x:v>
      </x:c>
      <x:c r="D58" s="29" t="str">
        <x:v>Ordinary water</x:v>
      </x:c>
      <x:c r="E58" s="28" t="n">
        <x:v>40</x:v>
      </x:c>
      <x:c r="F58" s="28" t="n">
        <x:v>1</x:v>
      </x:c>
      <x:c r="G58" s="28" t="n">
        <x:v>717</x:v>
      </x:c>
      <x:c r="H58" s="29" t="str">
        <x:v>Formal baseline</x:v>
      </x:c>
      <x:c r="I58" s="29" t="str"/>
    </x:row>
    <x:row r="59">
      <x:c r="A59" s="28" t="n">
        <x:v>57</x:v>
      </x:c>
      <x:c r="B59" s="29" t="str">
        <x:v>Water control</x:v>
      </x:c>
      <x:c r="C59" s="29" t="str">
        <x:v>C2</x:v>
      </x:c>
      <x:c r="D59" s="29" t="str">
        <x:v>Ordinary water</x:v>
      </x:c>
      <x:c r="E59" s="28" t="n">
        <x:v>40</x:v>
      </x:c>
      <x:c r="F59" s="28" t="n">
        <x:v>2</x:v>
      </x:c>
      <x:c r="G59" s="28" t="n">
        <x:v>719</x:v>
      </x:c>
      <x:c r="H59" s="29" t="str">
        <x:v>Formal baseline</x:v>
      </x:c>
      <x:c r="I59" s="29" t="str"/>
    </x:row>
    <x:row r="60">
      <x:c r="A60" s="28" t="n">
        <x:v>58</x:v>
      </x:c>
      <x:c r="B60" s="29" t="str">
        <x:v>Water control</x:v>
      </x:c>
      <x:c r="C60" s="29" t="str">
        <x:v>C2</x:v>
      </x:c>
      <x:c r="D60" s="29" t="str">
        <x:v>Ordinary water</x:v>
      </x:c>
      <x:c r="E60" s="28" t="n">
        <x:v>40</x:v>
      </x:c>
      <x:c r="F60" s="28" t="n">
        <x:v>3</x:v>
      </x:c>
      <x:c r="G60" s="28" t="n">
        <x:v>718</x:v>
      </x:c>
      <x:c r="H60" s="29" t="str">
        <x:v>Formal baseline</x:v>
      </x:c>
      <x:c r="I60" s="29" t="str"/>
    </x:row>
    <x:row r="61">
      <x:c r="A61" s="28" t="n">
        <x:v>59</x:v>
      </x:c>
      <x:c r="B61" s="29" t="str">
        <x:v>Water control</x:v>
      </x:c>
      <x:c r="C61" s="29" t="str">
        <x:v>C2</x:v>
      </x:c>
      <x:c r="D61" s="29" t="str">
        <x:v>Ordinary water</x:v>
      </x:c>
      <x:c r="E61" s="28" t="n">
        <x:v>40</x:v>
      </x:c>
      <x:c r="F61" s="28" t="n">
        <x:v>4</x:v>
      </x:c>
      <x:c r="G61" s="28" t="n">
        <x:v>719</x:v>
      </x:c>
      <x:c r="H61" s="29" t="str">
        <x:v>Formal baseline</x:v>
      </x:c>
      <x:c r="I61" s="29" t="str"/>
    </x:row>
    <x:row r="62">
      <x:c r="A62" s="28" t="n">
        <x:v>60</x:v>
      </x:c>
      <x:c r="B62" s="29" t="str">
        <x:v>Water control</x:v>
      </x:c>
      <x:c r="C62" s="29" t="str">
        <x:v>C2</x:v>
      </x:c>
      <x:c r="D62" s="29" t="str">
        <x:v>Ordinary water</x:v>
      </x:c>
      <x:c r="E62" s="28" t="n">
        <x:v>40</x:v>
      </x:c>
      <x:c r="F62" s="28" t="n">
        <x:v>5</x:v>
      </x:c>
      <x:c r="G62" s="28" t="n">
        <x:v>720</x:v>
      </x:c>
      <x:c r="H62" s="29" t="str">
        <x:v>Formal baseline</x:v>
      </x:c>
      <x:c r="I62" s="29" t="str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7b5ca6c1be67480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.329999923706055" hidden="0" customWidth="1"/>
    <x:col min="3" max="3" width="21" hidden="0" customWidth="1"/>
    <x:col min="4" max="4" width="15" hidden="0" customWidth="1"/>
    <x:col min="5" max="5" width="3.890000104904175" hidden="0" customWidth="1"/>
    <x:col min="6" max="6" width="10.890000343322754" hidden="0" customWidth="1"/>
    <x:col min="7" max="7" width="11.220000267028809" hidden="0" customWidth="1"/>
    <x:col min="8" max="8" width="9.890000343322754" hidden="0" customWidth="1"/>
    <x:col min="9" max="9" width="10.220000267028809" hidden="0" customWidth="1"/>
    <x:col min="10" max="10" width="7.670000076293945" hidden="0" customWidth="1"/>
  </x:cols>
  <x:sheetData>
    <x:row r="1" ht="30" customHeight="1">
      <x:c r="A1" s="46" t="str">
        <x:v>Pre-Exposure Baseline Summary</x:v>
      </x:c>
      <x:c r="B1" s="46"/>
      <x:c r="C1" s="46"/>
      <x:c r="D1" s="46"/>
      <x:c r="E1" s="46"/>
      <x:c r="F1" s="46"/>
      <x:c r="G1" s="46"/>
      <x:c r="H1" s="46"/>
      <x:c r="I1" s="46"/>
      <x:c r="J1" s="46"/>
    </x:row>
    <x:row r="2" ht="34" customHeight="1">
      <x:c r="A2" s="8" t="str">
        <x:v>Group</x:v>
      </x:c>
      <x:c r="B2" s="9" t="str">
        <x:v>Sensor ID</x:v>
      </x:c>
      <x:c r="C2" s="9" t="str">
        <x:v>Exposure liquid</x:v>
      </x:c>
      <x:c r="D2" s="9" t="str">
        <x:v>Water added (g)</x:v>
      </x:c>
      <x:c r="E2" s="9" t="str">
        <x:v>N</x:v>
      </x:c>
      <x:c r="F2" s="9" t="str">
        <x:v>Mean ADC</x:v>
      </x:c>
      <x:c r="G2" s="9" t="str">
        <x:v>Sample SD</x:v>
      </x:c>
      <x:c r="H2" s="9" t="str">
        <x:v>Minimum</x:v>
      </x:c>
      <x:c r="I2" s="9" t="str">
        <x:v>Maximum</x:v>
      </x:c>
      <x:c r="J2" s="10" t="str">
        <x:v>Range</x:v>
      </x:c>
    </x:row>
    <x:row r="3">
      <x:c r="A3" s="29" t="str">
        <x:v>Saline exposure</x:v>
      </x:c>
      <x:c r="B3" s="29" t="str">
        <x:v>S1</x:v>
      </x:c>
      <x:c r="C3" s="29" t="str">
        <x:v>3.5% NaCl solution</x:v>
      </x:c>
      <x:c r="D3" s="28" t="n">
        <x:v>0</x:v>
      </x:c>
      <x:c r="E3" s="28" t="n">
        <x:v>5</x:v>
      </x:c>
      <x:c r="F3" s="31" t="n">
        <x:f>AVERAGE('Baseline Raw Data'!$G$3:$G$7)</x:f>
        <x:v>3922.4</x:v>
      </x:c>
      <x:c r="G3" s="31" t="n">
        <x:f>STDEV.S('Baseline Raw Data'!$G$3:$G$7)</x:f>
        <x:v>2.5099800796022267</x:v>
      </x:c>
      <x:c r="H3" s="28" t="n">
        <x:f>MIN('Baseline Raw Data'!$G$3:$G$7)</x:f>
        <x:v>3920</x:v>
      </x:c>
      <x:c r="I3" s="28" t="n">
        <x:f>MAX('Baseline Raw Data'!$G$3:$G$7)</x:f>
        <x:v>3926</x:v>
      </x:c>
      <x:c r="J3" s="28" t="n">
        <x:f>I3-H3</x:f>
        <x:v>6</x:v>
      </x:c>
    </x:row>
    <x:row r="4">
      <x:c r="A4" s="29" t="str">
        <x:v>Saline exposure</x:v>
      </x:c>
      <x:c r="B4" s="29" t="str">
        <x:v>S1</x:v>
      </x:c>
      <x:c r="C4" s="29" t="str">
        <x:v>3.5% NaCl solution</x:v>
      </x:c>
      <x:c r="D4" s="28" t="n">
        <x:v>20</x:v>
      </x:c>
      <x:c r="E4" s="28" t="n">
        <x:v>5</x:v>
      </x:c>
      <x:c r="F4" s="31" t="n">
        <x:f>AVERAGE('Baseline Raw Data'!$G$8:$G$12)</x:f>
        <x:v>1009</x:v>
      </x:c>
      <x:c r="G4" s="31" t="n">
        <x:f>STDEV.S('Baseline Raw Data'!$G$8:$G$12)</x:f>
        <x:v>2.6457513110645907</x:v>
      </x:c>
      <x:c r="H4" s="28" t="n">
        <x:f>MIN('Baseline Raw Data'!$G$8:$G$12)</x:f>
        <x:v>1006</x:v>
      </x:c>
      <x:c r="I4" s="28" t="n">
        <x:f>MAX('Baseline Raw Data'!$G$8:$G$12)</x:f>
        <x:v>1013</x:v>
      </x:c>
      <x:c r="J4" s="28" t="n">
        <x:f>I4-H4</x:f>
        <x:v>7</x:v>
      </x:c>
    </x:row>
    <x:row r="5">
      <x:c r="A5" s="29" t="str">
        <x:v>Saline exposure</x:v>
      </x:c>
      <x:c r="B5" s="29" t="str">
        <x:v>S1</x:v>
      </x:c>
      <x:c r="C5" s="29" t="str">
        <x:v>3.5% NaCl solution</x:v>
      </x:c>
      <x:c r="D5" s="28" t="n">
        <x:v>40</x:v>
      </x:c>
      <x:c r="E5" s="28" t="n">
        <x:v>5</x:v>
      </x:c>
      <x:c r="F5" s="31" t="n">
        <x:f>AVERAGE('Baseline Raw Data'!$G$13:$G$17)</x:f>
        <x:v>658.2</x:v>
      </x:c>
      <x:c r="G5" s="31" t="n">
        <x:f>STDEV.S('Baseline Raw Data'!$G$13:$G$17)</x:f>
        <x:v>2.588435821108957</x:v>
      </x:c>
      <x:c r="H5" s="28" t="n">
        <x:f>MIN('Baseline Raw Data'!$G$13:$G$17)</x:f>
        <x:v>655</x:v>
      </x:c>
      <x:c r="I5" s="28" t="n">
        <x:f>MAX('Baseline Raw Data'!$G$13:$G$17)</x:f>
        <x:v>661</x:v>
      </x:c>
      <x:c r="J5" s="28" t="n">
        <x:f>I5-H5</x:f>
        <x:v>6</x:v>
      </x:c>
    </x:row>
    <x:row r="6">
      <x:c r="A6" s="29" t="str">
        <x:v>Saline exposure</x:v>
      </x:c>
      <x:c r="B6" s="29" t="str">
        <x:v>S2</x:v>
      </x:c>
      <x:c r="C6" s="29" t="str">
        <x:v>3.5% NaCl solution</x:v>
      </x:c>
      <x:c r="D6" s="28" t="n">
        <x:v>0</x:v>
      </x:c>
      <x:c r="E6" s="28" t="n">
        <x:v>5</x:v>
      </x:c>
      <x:c r="F6" s="31" t="n">
        <x:f>AVERAGE('Baseline Raw Data'!$G$18:$G$22)</x:f>
        <x:v>4095</x:v>
      </x:c>
      <x:c r="G6" s="31" t="n">
        <x:f>STDEV.S('Baseline Raw Data'!$G$18:$G$22)</x:f>
        <x:v>0</x:v>
      </x:c>
      <x:c r="H6" s="28" t="n">
        <x:f>MIN('Baseline Raw Data'!$G$18:$G$22)</x:f>
        <x:v>4095</x:v>
      </x:c>
      <x:c r="I6" s="28" t="n">
        <x:f>MAX('Baseline Raw Data'!$G$18:$G$22)</x:f>
        <x:v>4095</x:v>
      </x:c>
      <x:c r="J6" s="28" t="n">
        <x:f>I6-H6</x:f>
        <x:v>0</x:v>
      </x:c>
    </x:row>
    <x:row r="7">
      <x:c r="A7" s="29" t="str">
        <x:v>Saline exposure</x:v>
      </x:c>
      <x:c r="B7" s="29" t="str">
        <x:v>S2</x:v>
      </x:c>
      <x:c r="C7" s="29" t="str">
        <x:v>3.5% NaCl solution</x:v>
      </x:c>
      <x:c r="D7" s="28" t="n">
        <x:v>20</x:v>
      </x:c>
      <x:c r="E7" s="28" t="n">
        <x:v>5</x:v>
      </x:c>
      <x:c r="F7" s="31" t="n">
        <x:f>AVERAGE('Baseline Raw Data'!$G$23:$G$27)</x:f>
        <x:v>1125.4</x:v>
      </x:c>
      <x:c r="G7" s="31" t="n">
        <x:f>STDEV.S('Baseline Raw Data'!$G$23:$G$27)</x:f>
        <x:v>7.3006848993775915</x:v>
      </x:c>
      <x:c r="H7" s="28" t="n">
        <x:f>MIN('Baseline Raw Data'!$G$23:$G$27)</x:f>
        <x:v>1116</x:v>
      </x:c>
      <x:c r="I7" s="28" t="n">
        <x:f>MAX('Baseline Raw Data'!$G$23:$G$27)</x:f>
        <x:v>1134</x:v>
      </x:c>
      <x:c r="J7" s="28" t="n">
        <x:f>I7-H7</x:f>
        <x:v>18</x:v>
      </x:c>
    </x:row>
    <x:row r="8">
      <x:c r="A8" s="29" t="str">
        <x:v>Saline exposure</x:v>
      </x:c>
      <x:c r="B8" s="29" t="str">
        <x:v>S2</x:v>
      </x:c>
      <x:c r="C8" s="29" t="str">
        <x:v>3.5% NaCl solution</x:v>
      </x:c>
      <x:c r="D8" s="28" t="n">
        <x:v>40</x:v>
      </x:c>
      <x:c r="E8" s="28" t="n">
        <x:v>5</x:v>
      </x:c>
      <x:c r="F8" s="31" t="n">
        <x:f>AVERAGE('Baseline Raw Data'!$G$28:$G$32)</x:f>
        <x:v>848.6</x:v>
      </x:c>
      <x:c r="G8" s="31" t="n">
        <x:f>STDEV.S('Baseline Raw Data'!$G$28:$G$32)</x:f>
        <x:v>1.5165750888103102</x:v>
      </x:c>
      <x:c r="H8" s="28" t="n">
        <x:f>MIN('Baseline Raw Data'!$G$28:$G$32)</x:f>
        <x:v>847</x:v>
      </x:c>
      <x:c r="I8" s="28" t="n">
        <x:f>MAX('Baseline Raw Data'!$G$28:$G$32)</x:f>
        <x:v>850</x:v>
      </x:c>
      <x:c r="J8" s="28" t="n">
        <x:f>I8-H8</x:f>
        <x:v>3</x:v>
      </x:c>
    </x:row>
    <x:row r="9">
      <x:c r="A9" s="29" t="str">
        <x:v>Water control</x:v>
      </x:c>
      <x:c r="B9" s="29" t="str">
        <x:v>C1</x:v>
      </x:c>
      <x:c r="C9" s="29" t="str">
        <x:v>Ordinary water</x:v>
      </x:c>
      <x:c r="D9" s="28" t="n">
        <x:v>0</x:v>
      </x:c>
      <x:c r="E9" s="28" t="n">
        <x:v>5</x:v>
      </x:c>
      <x:c r="F9" s="31" t="n">
        <x:f>AVERAGE('Baseline Raw Data'!$G$33:$G$37)</x:f>
        <x:v>4095</x:v>
      </x:c>
      <x:c r="G9" s="31" t="n">
        <x:f>STDEV.S('Baseline Raw Data'!$G$33:$G$37)</x:f>
        <x:v>0</x:v>
      </x:c>
      <x:c r="H9" s="28" t="n">
        <x:f>MIN('Baseline Raw Data'!$G$33:$G$37)</x:f>
        <x:v>4095</x:v>
      </x:c>
      <x:c r="I9" s="28" t="n">
        <x:f>MAX('Baseline Raw Data'!$G$33:$G$37)</x:f>
        <x:v>4095</x:v>
      </x:c>
      <x:c r="J9" s="28" t="n">
        <x:f>I9-H9</x:f>
        <x:v>0</x:v>
      </x:c>
    </x:row>
    <x:row r="10">
      <x:c r="A10" s="29" t="str">
        <x:v>Water control</x:v>
      </x:c>
      <x:c r="B10" s="29" t="str">
        <x:v>C1</x:v>
      </x:c>
      <x:c r="C10" s="29" t="str">
        <x:v>Ordinary water</x:v>
      </x:c>
      <x:c r="D10" s="28" t="n">
        <x:v>20</x:v>
      </x:c>
      <x:c r="E10" s="28" t="n">
        <x:v>5</x:v>
      </x:c>
      <x:c r="F10" s="31" t="n">
        <x:f>AVERAGE('Baseline Raw Data'!$G$38:$G$42)</x:f>
        <x:v>1176.2</x:v>
      </x:c>
      <x:c r="G10" s="31" t="n">
        <x:f>STDEV.S('Baseline Raw Data'!$G$38:$G$42)</x:f>
        <x:v>10.03493896344168</x:v>
      </x:c>
      <x:c r="H10" s="28" t="n">
        <x:f>MIN('Baseline Raw Data'!$G$38:$G$42)</x:f>
        <x:v>1165</x:v>
      </x:c>
      <x:c r="I10" s="28" t="n">
        <x:f>MAX('Baseline Raw Data'!$G$38:$G$42)</x:f>
        <x:v>1190</x:v>
      </x:c>
      <x:c r="J10" s="28" t="n">
        <x:f>I10-H10</x:f>
        <x:v>25</x:v>
      </x:c>
    </x:row>
    <x:row r="11">
      <x:c r="A11" s="29" t="str">
        <x:v>Water control</x:v>
      </x:c>
      <x:c r="B11" s="29" t="str">
        <x:v>C1</x:v>
      </x:c>
      <x:c r="C11" s="29" t="str">
        <x:v>Ordinary water</x:v>
      </x:c>
      <x:c r="D11" s="28" t="n">
        <x:v>40</x:v>
      </x:c>
      <x:c r="E11" s="28" t="n">
        <x:v>5</x:v>
      </x:c>
      <x:c r="F11" s="31" t="n">
        <x:f>AVERAGE('Baseline Raw Data'!$G$43:$G$47)</x:f>
        <x:v>698.8</x:v>
      </x:c>
      <x:c r="G11" s="31" t="n">
        <x:f>STDEV.S('Baseline Raw Data'!$G$43:$G$47)</x:f>
        <x:v>1.9235384061671346</x:v>
      </x:c>
      <x:c r="H11" s="28" t="n">
        <x:f>MIN('Baseline Raw Data'!$G$43:$G$47)</x:f>
        <x:v>696</x:v>
      </x:c>
      <x:c r="I11" s="28" t="n">
        <x:f>MAX('Baseline Raw Data'!$G$43:$G$47)</x:f>
        <x:v>701</x:v>
      </x:c>
      <x:c r="J11" s="28" t="n">
        <x:f>I11-H11</x:f>
        <x:v>5</x:v>
      </x:c>
    </x:row>
    <x:row r="12">
      <x:c r="A12" s="29" t="str">
        <x:v>Water control</x:v>
      </x:c>
      <x:c r="B12" s="29" t="str">
        <x:v>C2</x:v>
      </x:c>
      <x:c r="C12" s="29" t="str">
        <x:v>Ordinary water</x:v>
      </x:c>
      <x:c r="D12" s="28" t="n">
        <x:v>0</x:v>
      </x:c>
      <x:c r="E12" s="28" t="n">
        <x:v>5</x:v>
      </x:c>
      <x:c r="F12" s="31" t="n">
        <x:f>AVERAGE('Baseline Raw Data'!$G$48:$G$52)</x:f>
        <x:v>4095</x:v>
      </x:c>
      <x:c r="G12" s="31" t="n">
        <x:f>STDEV.S('Baseline Raw Data'!$G$48:$G$52)</x:f>
        <x:v>0</x:v>
      </x:c>
      <x:c r="H12" s="28" t="n">
        <x:f>MIN('Baseline Raw Data'!$G$48:$G$52)</x:f>
        <x:v>4095</x:v>
      </x:c>
      <x:c r="I12" s="28" t="n">
        <x:f>MAX('Baseline Raw Data'!$G$48:$G$52)</x:f>
        <x:v>4095</x:v>
      </x:c>
      <x:c r="J12" s="28" t="n">
        <x:f>I12-H12</x:f>
        <x:v>0</x:v>
      </x:c>
    </x:row>
    <x:row r="13">
      <x:c r="A13" s="29" t="str">
        <x:v>Water control</x:v>
      </x:c>
      <x:c r="B13" s="29" t="str">
        <x:v>C2</x:v>
      </x:c>
      <x:c r="C13" s="29" t="str">
        <x:v>Ordinary water</x:v>
      </x:c>
      <x:c r="D13" s="28" t="n">
        <x:v>20</x:v>
      </x:c>
      <x:c r="E13" s="28" t="n">
        <x:v>5</x:v>
      </x:c>
      <x:c r="F13" s="31" t="n">
        <x:f>AVERAGE('Baseline Raw Data'!$G$53:$G$57)</x:f>
        <x:v>1006.4</x:v>
      </x:c>
      <x:c r="G13" s="31" t="n">
        <x:f>STDEV.S('Baseline Raw Data'!$G$53:$G$57)</x:f>
        <x:v>0.5477225575051662</x:v>
      </x:c>
      <x:c r="H13" s="28" t="n">
        <x:f>MIN('Baseline Raw Data'!$G$53:$G$57)</x:f>
        <x:v>1006</x:v>
      </x:c>
      <x:c r="I13" s="28" t="n">
        <x:f>MAX('Baseline Raw Data'!$G$53:$G$57)</x:f>
        <x:v>1007</x:v>
      </x:c>
      <x:c r="J13" s="28" t="n">
        <x:f>I13-H13</x:f>
        <x:v>1</x:v>
      </x:c>
    </x:row>
    <x:row r="14">
      <x:c r="A14" s="29" t="str">
        <x:v>Water control</x:v>
      </x:c>
      <x:c r="B14" s="29" t="str">
        <x:v>C2</x:v>
      </x:c>
      <x:c r="C14" s="29" t="str">
        <x:v>Ordinary water</x:v>
      </x:c>
      <x:c r="D14" s="28" t="n">
        <x:v>40</x:v>
      </x:c>
      <x:c r="E14" s="28" t="n">
        <x:v>5</x:v>
      </x:c>
      <x:c r="F14" s="31" t="n">
        <x:f>AVERAGE('Baseline Raw Data'!$G$58:$G$62)</x:f>
        <x:v>718.6</x:v>
      </x:c>
      <x:c r="G14" s="31" t="n">
        <x:f>STDEV.S('Baseline Raw Data'!$G$58:$G$62)</x:f>
        <x:v>1.140175425099138</x:v>
      </x:c>
      <x:c r="H14" s="28" t="n">
        <x:f>MIN('Baseline Raw Data'!$G$58:$G$62)</x:f>
        <x:v>717</x:v>
      </x:c>
      <x:c r="I14" s="28" t="n">
        <x:f>MAX('Baseline Raw Data'!$G$58:$G$62)</x:f>
        <x:v>720</x:v>
      </x:c>
      <x:c r="J14" s="28" t="n">
        <x:f>I14-H14</x:f>
        <x:v>3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959bede0faad4d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.66999816894531" hidden="0" customWidth="1"/>
    <x:col min="2" max="2" width="15.329999923706055" hidden="0" customWidth="1"/>
    <x:col min="3" max="3" width="14" hidden="0" customWidth="1"/>
    <x:col min="4" max="4" width="14" hidden="0" customWidth="1"/>
    <x:col min="5" max="5" width="11" hidden="0" customWidth="1"/>
    <x:col min="6" max="6" width="18" hidden="0" customWidth="1"/>
    <x:col min="7" max="7" width="21" hidden="0" customWidth="1"/>
    <x:col min="8" max="8" width="20" hidden="0" customWidth="1"/>
    <x:col min="9" max="9" width="21" hidden="0" customWidth="1"/>
    <x:col min="10" max="10" width="18" hidden="0" customWidth="1"/>
    <x:col min="11" max="11" width="17" hidden="0" customWidth="1"/>
    <x:col min="12" max="12" width="19" hidden="0" customWidth="1"/>
    <x:col min="13" max="13" width="16" hidden="0" customWidth="1"/>
    <x:col min="14" max="14" width="56" hidden="0" customWidth="1"/>
  </x:cols>
  <x:sheetData>
    <x:row r="1" ht="30" customHeight="1">
      <x:c r="A1" s="46" t="str">
        <x:v>120-Hour Exposure Observation Log</x:v>
      </x:c>
      <x:c r="B1" s="46"/>
      <x:c r="C1" s="46"/>
      <x:c r="D1" s="46"/>
      <x:c r="E1" s="46"/>
      <x:c r="F1" s="46"/>
      <x:c r="G1" s="46"/>
      <x:c r="H1" s="46"/>
      <x:c r="I1" s="95"/>
      <x:c r="J1" s="95"/>
      <x:c r="K1" s="95"/>
      <x:c r="L1" s="95"/>
      <x:c r="M1" s="95"/>
      <x:c r="N1" s="95"/>
    </x:row>
    <x:row r="2" ht="42" customHeight="1">
      <x:c r="A2" s="8" t="str">
        <x:v>Day</x:v>
      </x:c>
      <x:c r="B2" s="9" t="str">
        <x:v>Elapsed time (h)</x:v>
      </x:c>
      <x:c r="C2" s="9" t="str">
        <x:v>Date</x:v>
      </x:c>
      <x:c r="D2" s="9" t="str">
        <x:v>Time</x:v>
      </x:c>
      <x:c r="E2" s="9" t="str">
        <x:v>Sensor ID</x:v>
      </x:c>
      <x:c r="F2" s="9" t="str">
        <x:v>Group</x:v>
      </x:c>
      <x:c r="G2" s="9" t="str">
        <x:v>Exposure liquid</x:v>
      </x:c>
      <x:c r="H2" s="9" t="str">
        <x:v>Liquid level</x:v>
      </x:c>
      <x:c r="I2" s="9" t="str">
        <x:v>Color change</x:v>
      </x:c>
      <x:c r="J2" s="9" t="str">
        <x:v>Rust/corrosion</x:v>
      </x:c>
      <x:c r="K2" s="9" t="str">
        <x:v>Deposits</x:v>
      </x:c>
      <x:c r="L2" s="9" t="str">
        <x:v>Electrode condition score (0-4)</x:v>
      </x:c>
      <x:c r="M2" s="9" t="str">
        <x:v>Photo filename</x:v>
      </x:c>
      <x:c r="N2" s="10" t="str">
        <x:v>Notes</x:v>
      </x:c>
    </x:row>
    <x:row r="3" ht="32" customHeight="1">
      <x:c r="A3" s="96" t="n">
        <x:v>0</x:v>
      </x:c>
      <x:c r="B3" s="96" t="n">
        <x:v>0</x:v>
      </x:c>
      <x:c r="C3" s="97" t="str">
        <x:v>Not recorded</x:v>
      </x:c>
      <x:c r="D3" s="98" t="str">
        <x:v>Not recorded</x:v>
      </x:c>
      <x:c r="E3" s="94" t="str">
        <x:v>S1</x:v>
      </x:c>
      <x:c r="F3" s="94" t="str">
        <x:v>Saline exposure</x:v>
      </x:c>
      <x:c r="G3" s="94" t="str">
        <x:v>3.5% NaCl solution</x:v>
      </x:c>
      <x:c r="H3" s="93" t="str">
        <x:v>Initial level marked</x:v>
      </x:c>
      <x:c r="I3" s="93" t="str">
        <x:v>No discoloration observed</x:v>
      </x:c>
      <x:c r="J3" s="93" t="str">
        <x:v>None observed</x:v>
      </x:c>
      <x:c r="K3" s="93" t="str">
        <x:v>None observed</x:v>
      </x:c>
      <x:c r="L3" s="99" t="str">
        <x:v>Not recorded</x:v>
      </x:c>
      <x:c r="M3" s="100" t="str">
        <x:v>day0.jpg</x:v>
      </x:c>
      <x:c r="N3" s="100" t="str">
        <x:v>Before exposure</x:v>
      </x:c>
    </x:row>
    <x:row r="4" ht="32" customHeight="1">
      <x:c r="A4" s="96" t="n">
        <x:v>0</x:v>
      </x:c>
      <x:c r="B4" s="96" t="n">
        <x:v>0</x:v>
      </x:c>
      <x:c r="C4" s="97" t="str">
        <x:v>Not recorded</x:v>
      </x:c>
      <x:c r="D4" s="98" t="str">
        <x:v>Not recorded</x:v>
      </x:c>
      <x:c r="E4" s="94" t="str">
        <x:v>S2</x:v>
      </x:c>
      <x:c r="F4" s="94" t="str">
        <x:v>Saline exposure</x:v>
      </x:c>
      <x:c r="G4" s="94" t="str">
        <x:v>3.5% NaCl solution</x:v>
      </x:c>
      <x:c r="H4" s="93" t="str">
        <x:v>Initial level marked</x:v>
      </x:c>
      <x:c r="I4" s="93" t="str">
        <x:v>No discoloration observed</x:v>
      </x:c>
      <x:c r="J4" s="93" t="str">
        <x:v>None observed</x:v>
      </x:c>
      <x:c r="K4" s="93" t="str">
        <x:v>None observed</x:v>
      </x:c>
      <x:c r="L4" s="99" t="str">
        <x:v>Not recorded</x:v>
      </x:c>
      <x:c r="M4" s="100" t="str">
        <x:v>day0.jpg</x:v>
      </x:c>
      <x:c r="N4" s="100" t="str">
        <x:v>Before exposure</x:v>
      </x:c>
    </x:row>
    <x:row r="5" ht="32" customHeight="1">
      <x:c r="A5" s="96" t="n">
        <x:v>0</x:v>
      </x:c>
      <x:c r="B5" s="96" t="n">
        <x:v>0</x:v>
      </x:c>
      <x:c r="C5" s="97" t="str">
        <x:v>Not recorded</x:v>
      </x:c>
      <x:c r="D5" s="98" t="str">
        <x:v>Not recorded</x:v>
      </x:c>
      <x:c r="E5" s="94" t="str">
        <x:v>C1</x:v>
      </x:c>
      <x:c r="F5" s="94" t="str">
        <x:v>Water control</x:v>
      </x:c>
      <x:c r="G5" s="94" t="str">
        <x:v>Ordinary water</x:v>
      </x:c>
      <x:c r="H5" s="93" t="str">
        <x:v>Initial level marked</x:v>
      </x:c>
      <x:c r="I5" s="93" t="str">
        <x:v>No discoloration observed</x:v>
      </x:c>
      <x:c r="J5" s="93" t="str">
        <x:v>None observed</x:v>
      </x:c>
      <x:c r="K5" s="93" t="str">
        <x:v>None observed</x:v>
      </x:c>
      <x:c r="L5" s="99" t="str">
        <x:v>Not recorded</x:v>
      </x:c>
      <x:c r="M5" s="100" t="str">
        <x:v>day0.jpg</x:v>
      </x:c>
      <x:c r="N5" s="100" t="str">
        <x:v>Before exposure</x:v>
      </x:c>
    </x:row>
    <x:row r="6" ht="32" customHeight="1">
      <x:c r="A6" s="96" t="n">
        <x:v>0</x:v>
      </x:c>
      <x:c r="B6" s="96" t="n">
        <x:v>0</x:v>
      </x:c>
      <x:c r="C6" s="97" t="str">
        <x:v>Not recorded</x:v>
      </x:c>
      <x:c r="D6" s="98" t="str">
        <x:v>Not recorded</x:v>
      </x:c>
      <x:c r="E6" s="94" t="str">
        <x:v>C2</x:v>
      </x:c>
      <x:c r="F6" s="94" t="str">
        <x:v>Water control</x:v>
      </x:c>
      <x:c r="G6" s="94" t="str">
        <x:v>Ordinary water</x:v>
      </x:c>
      <x:c r="H6" s="93" t="str">
        <x:v>Initial level marked</x:v>
      </x:c>
      <x:c r="I6" s="93" t="str">
        <x:v>No discoloration observed</x:v>
      </x:c>
      <x:c r="J6" s="93" t="str">
        <x:v>None observed</x:v>
      </x:c>
      <x:c r="K6" s="93" t="str">
        <x:v>None observed</x:v>
      </x:c>
      <x:c r="L6" s="99" t="str">
        <x:v>Not recorded</x:v>
      </x:c>
      <x:c r="M6" s="100" t="str">
        <x:v>day0.jpg</x:v>
      </x:c>
      <x:c r="N6" s="100" t="str">
        <x:v>Before exposure</x:v>
      </x:c>
    </x:row>
    <x:row r="7" ht="32" customHeight="1">
      <x:c r="A7" s="96" t="n">
        <x:v>1</x:v>
      </x:c>
      <x:c r="B7" s="96" t="n">
        <x:v>24</x:v>
      </x:c>
      <x:c r="C7" s="97" t="str">
        <x:v>Not recorded</x:v>
      </x:c>
      <x:c r="D7" s="98" t="str">
        <x:v>Not recorded</x:v>
      </x:c>
      <x:c r="E7" s="94" t="str">
        <x:v>S1</x:v>
      </x:c>
      <x:c r="F7" s="94" t="str">
        <x:v>Saline exposure</x:v>
      </x:c>
      <x:c r="G7" s="94" t="str">
        <x:v>3.5% NaCl solution</x:v>
      </x:c>
      <x:c r="H7" s="93" t="str">
        <x:v>Not recorded</x:v>
      </x:c>
      <x:c r="I7" s="93" t="str">
        <x:v>No obvious change</x:v>
      </x:c>
      <x:c r="J7" s="93" t="str">
        <x:v>None observed</x:v>
      </x:c>
      <x:c r="K7" s="93" t="str">
        <x:v>None observed</x:v>
      </x:c>
      <x:c r="L7" s="99" t="str">
        <x:v>Not recorded</x:v>
      </x:c>
      <x:c r="M7" s="100" t="str">
        <x:v>day1.jpg</x:v>
      </x:c>
      <x:c r="N7" s="100" t="str">
        <x:v>No obvious visual change reported.</x:v>
      </x:c>
    </x:row>
    <x:row r="8" ht="32" customHeight="1">
      <x:c r="A8" s="96" t="n">
        <x:v>1</x:v>
      </x:c>
      <x:c r="B8" s="96" t="n">
        <x:v>24</x:v>
      </x:c>
      <x:c r="C8" s="97" t="str">
        <x:v>Not recorded</x:v>
      </x:c>
      <x:c r="D8" s="98" t="str">
        <x:v>Not recorded</x:v>
      </x:c>
      <x:c r="E8" s="94" t="str">
        <x:v>S2</x:v>
      </x:c>
      <x:c r="F8" s="94" t="str">
        <x:v>Saline exposure</x:v>
      </x:c>
      <x:c r="G8" s="94" t="str">
        <x:v>3.5% NaCl solution</x:v>
      </x:c>
      <x:c r="H8" s="93" t="str">
        <x:v>Not recorded</x:v>
      </x:c>
      <x:c r="I8" s="93" t="str">
        <x:v>No obvious change</x:v>
      </x:c>
      <x:c r="J8" s="93" t="str">
        <x:v>None observed</x:v>
      </x:c>
      <x:c r="K8" s="93" t="str">
        <x:v>None observed</x:v>
      </x:c>
      <x:c r="L8" s="99" t="str">
        <x:v>Not recorded</x:v>
      </x:c>
      <x:c r="M8" s="100" t="str">
        <x:v>day1.jpg</x:v>
      </x:c>
      <x:c r="N8" s="100" t="str">
        <x:v>No obvious visual change reported.</x:v>
      </x:c>
    </x:row>
    <x:row r="9" ht="32" customHeight="1">
      <x:c r="A9" s="96" t="n">
        <x:v>1</x:v>
      </x:c>
      <x:c r="B9" s="96" t="n">
        <x:v>24</x:v>
      </x:c>
      <x:c r="C9" s="97" t="str">
        <x:v>Not recorded</x:v>
      </x:c>
      <x:c r="D9" s="98" t="str">
        <x:v>Not recorded</x:v>
      </x:c>
      <x:c r="E9" s="94" t="str">
        <x:v>C1</x:v>
      </x:c>
      <x:c r="F9" s="94" t="str">
        <x:v>Water control</x:v>
      </x:c>
      <x:c r="G9" s="94" t="str">
        <x:v>Ordinary water</x:v>
      </x:c>
      <x:c r="H9" s="93" t="str">
        <x:v>Not recorded</x:v>
      </x:c>
      <x:c r="I9" s="93" t="str">
        <x:v>No obvious change</x:v>
      </x:c>
      <x:c r="J9" s="93" t="str">
        <x:v>None observed</x:v>
      </x:c>
      <x:c r="K9" s="93" t="str">
        <x:v>None observed</x:v>
      </x:c>
      <x:c r="L9" s="99" t="str">
        <x:v>Not recorded</x:v>
      </x:c>
      <x:c r="M9" s="100" t="str">
        <x:v>day1.jpg</x:v>
      </x:c>
      <x:c r="N9" s="100" t="str">
        <x:v>No obvious visual change reported.</x:v>
      </x:c>
    </x:row>
    <x:row r="10" ht="32" customHeight="1">
      <x:c r="A10" s="96" t="n">
        <x:v>1</x:v>
      </x:c>
      <x:c r="B10" s="96" t="n">
        <x:v>24</x:v>
      </x:c>
      <x:c r="C10" s="97" t="str">
        <x:v>Not recorded</x:v>
      </x:c>
      <x:c r="D10" s="98" t="str">
        <x:v>Not recorded</x:v>
      </x:c>
      <x:c r="E10" s="94" t="str">
        <x:v>C2</x:v>
      </x:c>
      <x:c r="F10" s="94" t="str">
        <x:v>Water control</x:v>
      </x:c>
      <x:c r="G10" s="94" t="str">
        <x:v>Ordinary water</x:v>
      </x:c>
      <x:c r="H10" s="93" t="str">
        <x:v>Not recorded</x:v>
      </x:c>
      <x:c r="I10" s="93" t="str">
        <x:v>No obvious change</x:v>
      </x:c>
      <x:c r="J10" s="93" t="str">
        <x:v>None observed</x:v>
      </x:c>
      <x:c r="K10" s="93" t="str">
        <x:v>None observed</x:v>
      </x:c>
      <x:c r="L10" s="99" t="str">
        <x:v>Not recorded</x:v>
      </x:c>
      <x:c r="M10" s="100" t="str">
        <x:v>day1.jpg</x:v>
      </x:c>
      <x:c r="N10" s="100" t="str">
        <x:v>No obvious visual change reported.</x:v>
      </x:c>
    </x:row>
    <x:row r="11" ht="32" customHeight="1">
      <x:c r="A11" s="96" t="n">
        <x:v>2</x:v>
      </x:c>
      <x:c r="B11" s="96" t="n">
        <x:v>48</x:v>
      </x:c>
      <x:c r="C11" s="97" t="str">
        <x:v>Not recorded</x:v>
      </x:c>
      <x:c r="D11" s="98" t="str">
        <x:v>Not recorded</x:v>
      </x:c>
      <x:c r="E11" s="94" t="str">
        <x:v>S1</x:v>
      </x:c>
      <x:c r="F11" s="94" t="str">
        <x:v>Saline exposure</x:v>
      </x:c>
      <x:c r="G11" s="94" t="str">
        <x:v>3.5% NaCl solution</x:v>
      </x:c>
      <x:c r="H11" s="93" t="str">
        <x:v>Not recorded</x:v>
      </x:c>
      <x:c r="I11" s="93" t="str">
        <x:v>No obvious change</x:v>
      </x:c>
      <x:c r="J11" s="93" t="str">
        <x:v>None observed</x:v>
      </x:c>
      <x:c r="K11" s="93" t="str">
        <x:v>None observed</x:v>
      </x:c>
      <x:c r="L11" s="99" t="str">
        <x:v>Not recorded</x:v>
      </x:c>
      <x:c r="M11" s="100" t="str">
        <x:v>day2.jpg</x:v>
      </x:c>
      <x:c r="N11" s="100" t="str">
        <x:v>No obvious visual change reported.</x:v>
      </x:c>
    </x:row>
    <x:row r="12" ht="32" customHeight="1">
      <x:c r="A12" s="96" t="n">
        <x:v>2</x:v>
      </x:c>
      <x:c r="B12" s="96" t="n">
        <x:v>48</x:v>
      </x:c>
      <x:c r="C12" s="97" t="str">
        <x:v>Not recorded</x:v>
      </x:c>
      <x:c r="D12" s="98" t="str">
        <x:v>Not recorded</x:v>
      </x:c>
      <x:c r="E12" s="94" t="str">
        <x:v>S2</x:v>
      </x:c>
      <x:c r="F12" s="94" t="str">
        <x:v>Saline exposure</x:v>
      </x:c>
      <x:c r="G12" s="94" t="str">
        <x:v>3.5% NaCl solution</x:v>
      </x:c>
      <x:c r="H12" s="93" t="str">
        <x:v>Not recorded</x:v>
      </x:c>
      <x:c r="I12" s="93" t="str">
        <x:v>No obvious change</x:v>
      </x:c>
      <x:c r="J12" s="93" t="str">
        <x:v>None observed</x:v>
      </x:c>
      <x:c r="K12" s="93" t="str">
        <x:v>None observed</x:v>
      </x:c>
      <x:c r="L12" s="99" t="str">
        <x:v>Not recorded</x:v>
      </x:c>
      <x:c r="M12" s="100" t="str">
        <x:v>day2.jpg</x:v>
      </x:c>
      <x:c r="N12" s="100" t="str">
        <x:v>No obvious visual change reported.</x:v>
      </x:c>
    </x:row>
    <x:row r="13" ht="32" customHeight="1">
      <x:c r="A13" s="96" t="n">
        <x:v>2</x:v>
      </x:c>
      <x:c r="B13" s="96" t="n">
        <x:v>48</x:v>
      </x:c>
      <x:c r="C13" s="97" t="str">
        <x:v>Not recorded</x:v>
      </x:c>
      <x:c r="D13" s="98" t="str">
        <x:v>Not recorded</x:v>
      </x:c>
      <x:c r="E13" s="94" t="str">
        <x:v>C1</x:v>
      </x:c>
      <x:c r="F13" s="94" t="str">
        <x:v>Water control</x:v>
      </x:c>
      <x:c r="G13" s="94" t="str">
        <x:v>Ordinary water</x:v>
      </x:c>
      <x:c r="H13" s="93" t="str">
        <x:v>Not recorded</x:v>
      </x:c>
      <x:c r="I13" s="93" t="str">
        <x:v>No obvious change</x:v>
      </x:c>
      <x:c r="J13" s="93" t="str">
        <x:v>None observed</x:v>
      </x:c>
      <x:c r="K13" s="93" t="str">
        <x:v>None observed</x:v>
      </x:c>
      <x:c r="L13" s="99" t="str">
        <x:v>Not recorded</x:v>
      </x:c>
      <x:c r="M13" s="100" t="str">
        <x:v>day2.jpg</x:v>
      </x:c>
      <x:c r="N13" s="100" t="str">
        <x:v>No obvious visual change reported.</x:v>
      </x:c>
    </x:row>
    <x:row r="14" ht="32" customHeight="1">
      <x:c r="A14" s="96" t="n">
        <x:v>2</x:v>
      </x:c>
      <x:c r="B14" s="96" t="n">
        <x:v>48</x:v>
      </x:c>
      <x:c r="C14" s="97" t="str">
        <x:v>Not recorded</x:v>
      </x:c>
      <x:c r="D14" s="98" t="str">
        <x:v>Not recorded</x:v>
      </x:c>
      <x:c r="E14" s="94" t="str">
        <x:v>C2</x:v>
      </x:c>
      <x:c r="F14" s="94" t="str">
        <x:v>Water control</x:v>
      </x:c>
      <x:c r="G14" s="94" t="str">
        <x:v>Ordinary water</x:v>
      </x:c>
      <x:c r="H14" s="93" t="str">
        <x:v>Not recorded</x:v>
      </x:c>
      <x:c r="I14" s="93" t="str">
        <x:v>No obvious change</x:v>
      </x:c>
      <x:c r="J14" s="93" t="str">
        <x:v>None observed</x:v>
      </x:c>
      <x:c r="K14" s="93" t="str">
        <x:v>None observed</x:v>
      </x:c>
      <x:c r="L14" s="99" t="str">
        <x:v>Not recorded</x:v>
      </x:c>
      <x:c r="M14" s="100" t="str">
        <x:v>day2.jpg</x:v>
      </x:c>
      <x:c r="N14" s="100" t="str">
        <x:v>No obvious visual change reported.</x:v>
      </x:c>
    </x:row>
    <x:row r="15" ht="32" customHeight="1">
      <x:c r="A15" s="96" t="n">
        <x:v>3</x:v>
      </x:c>
      <x:c r="B15" s="96" t="n">
        <x:v>72</x:v>
      </x:c>
      <x:c r="C15" s="97" t="str">
        <x:v>Not recorded</x:v>
      </x:c>
      <x:c r="D15" s="98" t="str">
        <x:v>Not recorded</x:v>
      </x:c>
      <x:c r="E15" s="94" t="str">
        <x:v>S1</x:v>
      </x:c>
      <x:c r="F15" s="94" t="str">
        <x:v>Saline exposure</x:v>
      </x:c>
      <x:c r="G15" s="94" t="str">
        <x:v>3.5% NaCl solution</x:v>
      </x:c>
      <x:c r="H15" s="93" t="str">
        <x:v>Not recorded</x:v>
      </x:c>
      <x:c r="I15" s="93" t="str">
        <x:v>No obvious change</x:v>
      </x:c>
      <x:c r="J15" s="93" t="str">
        <x:v>None observed</x:v>
      </x:c>
      <x:c r="K15" s="93" t="str">
        <x:v>None observed</x:v>
      </x:c>
      <x:c r="L15" s="99" t="str">
        <x:v>Not recorded</x:v>
      </x:c>
      <x:c r="M15" s="100" t="str">
        <x:v>day3.jpg</x:v>
      </x:c>
      <x:c r="N15" s="100" t="str">
        <x:v>No obvious visual change reported.</x:v>
      </x:c>
    </x:row>
    <x:row r="16" ht="32" customHeight="1">
      <x:c r="A16" s="96" t="n">
        <x:v>3</x:v>
      </x:c>
      <x:c r="B16" s="96" t="n">
        <x:v>72</x:v>
      </x:c>
      <x:c r="C16" s="97" t="str">
        <x:v>Not recorded</x:v>
      </x:c>
      <x:c r="D16" s="98" t="str">
        <x:v>Not recorded</x:v>
      </x:c>
      <x:c r="E16" s="94" t="str">
        <x:v>S2</x:v>
      </x:c>
      <x:c r="F16" s="94" t="str">
        <x:v>Saline exposure</x:v>
      </x:c>
      <x:c r="G16" s="94" t="str">
        <x:v>3.5% NaCl solution</x:v>
      </x:c>
      <x:c r="H16" s="93" t="str">
        <x:v>Not recorded</x:v>
      </x:c>
      <x:c r="I16" s="93" t="str">
        <x:v>No obvious change</x:v>
      </x:c>
      <x:c r="J16" s="93" t="str">
        <x:v>None observed</x:v>
      </x:c>
      <x:c r="K16" s="93" t="str">
        <x:v>None observed</x:v>
      </x:c>
      <x:c r="L16" s="99" t="str">
        <x:v>Not recorded</x:v>
      </x:c>
      <x:c r="M16" s="100" t="str">
        <x:v>day3.jpg</x:v>
      </x:c>
      <x:c r="N16" s="100" t="str">
        <x:v>No obvious visual change reported.</x:v>
      </x:c>
    </x:row>
    <x:row r="17" ht="32" customHeight="1">
      <x:c r="A17" s="96" t="n">
        <x:v>3</x:v>
      </x:c>
      <x:c r="B17" s="96" t="n">
        <x:v>72</x:v>
      </x:c>
      <x:c r="C17" s="97" t="str">
        <x:v>Not recorded</x:v>
      </x:c>
      <x:c r="D17" s="98" t="str">
        <x:v>Not recorded</x:v>
      </x:c>
      <x:c r="E17" s="94" t="str">
        <x:v>C1</x:v>
      </x:c>
      <x:c r="F17" s="94" t="str">
        <x:v>Water control</x:v>
      </x:c>
      <x:c r="G17" s="94" t="str">
        <x:v>Ordinary water</x:v>
      </x:c>
      <x:c r="H17" s="93" t="str">
        <x:v>Not recorded</x:v>
      </x:c>
      <x:c r="I17" s="93" t="str">
        <x:v>No obvious change</x:v>
      </x:c>
      <x:c r="J17" s="93" t="str">
        <x:v>None observed</x:v>
      </x:c>
      <x:c r="K17" s="93" t="str">
        <x:v>None observed</x:v>
      </x:c>
      <x:c r="L17" s="99" t="str">
        <x:v>Not recorded</x:v>
      </x:c>
      <x:c r="M17" s="100" t="str">
        <x:v>day3.jpg</x:v>
      </x:c>
      <x:c r="N17" s="100" t="str">
        <x:v>No obvious visual change reported.</x:v>
      </x:c>
    </x:row>
    <x:row r="18" ht="32" customHeight="1">
      <x:c r="A18" s="96" t="n">
        <x:v>3</x:v>
      </x:c>
      <x:c r="B18" s="96" t="n">
        <x:v>72</x:v>
      </x:c>
      <x:c r="C18" s="97" t="str">
        <x:v>Not recorded</x:v>
      </x:c>
      <x:c r="D18" s="98" t="str">
        <x:v>Not recorded</x:v>
      </x:c>
      <x:c r="E18" s="94" t="str">
        <x:v>C2</x:v>
      </x:c>
      <x:c r="F18" s="94" t="str">
        <x:v>Water control</x:v>
      </x:c>
      <x:c r="G18" s="94" t="str">
        <x:v>Ordinary water</x:v>
      </x:c>
      <x:c r="H18" s="93" t="str">
        <x:v>Not recorded</x:v>
      </x:c>
      <x:c r="I18" s="93" t="str">
        <x:v>No obvious change</x:v>
      </x:c>
      <x:c r="J18" s="93" t="str">
        <x:v>None observed</x:v>
      </x:c>
      <x:c r="K18" s="93" t="str">
        <x:v>None observed</x:v>
      </x:c>
      <x:c r="L18" s="99" t="str">
        <x:v>Not recorded</x:v>
      </x:c>
      <x:c r="M18" s="100" t="str">
        <x:v>day3.jpg</x:v>
      </x:c>
      <x:c r="N18" s="100" t="str">
        <x:v>No obvious visual change reported.</x:v>
      </x:c>
    </x:row>
    <x:row r="19" ht="32" customHeight="1">
      <x:c r="A19" s="96" t="n">
        <x:v>4</x:v>
      </x:c>
      <x:c r="B19" s="96" t="n">
        <x:v>96</x:v>
      </x:c>
      <x:c r="C19" s="97" t="str">
        <x:v>Not recorded</x:v>
      </x:c>
      <x:c r="D19" s="98" t="str">
        <x:v>Not recorded</x:v>
      </x:c>
      <x:c r="E19" s="94" t="str">
        <x:v>S1</x:v>
      </x:c>
      <x:c r="F19" s="94" t="str">
        <x:v>Saline exposure</x:v>
      </x:c>
      <x:c r="G19" s="94" t="str">
        <x:v>3.5% NaCl solution</x:v>
      </x:c>
      <x:c r="H19" s="93" t="str">
        <x:v>Not recorded</x:v>
      </x:c>
      <x:c r="I19" s="93" t="str">
        <x:v>No obvious change</x:v>
      </x:c>
      <x:c r="J19" s="93" t="str">
        <x:v>None observed</x:v>
      </x:c>
      <x:c r="K19" s="93" t="str">
        <x:v>None observed</x:v>
      </x:c>
      <x:c r="L19" s="99" t="str">
        <x:v>Not recorded</x:v>
      </x:c>
      <x:c r="M19" s="100" t="str">
        <x:v>day4.jpg</x:v>
      </x:c>
      <x:c r="N19" s="100" t="str">
        <x:v>No obvious visual change reported.</x:v>
      </x:c>
    </x:row>
    <x:row r="20" ht="32" customHeight="1">
      <x:c r="A20" s="96" t="n">
        <x:v>4</x:v>
      </x:c>
      <x:c r="B20" s="96" t="n">
        <x:v>96</x:v>
      </x:c>
      <x:c r="C20" s="97" t="str">
        <x:v>Not recorded</x:v>
      </x:c>
      <x:c r="D20" s="98" t="str">
        <x:v>Not recorded</x:v>
      </x:c>
      <x:c r="E20" s="94" t="str">
        <x:v>S2</x:v>
      </x:c>
      <x:c r="F20" s="94" t="str">
        <x:v>Saline exposure</x:v>
      </x:c>
      <x:c r="G20" s="94" t="str">
        <x:v>3.5% NaCl solution</x:v>
      </x:c>
      <x:c r="H20" s="93" t="str">
        <x:v>Not recorded</x:v>
      </x:c>
      <x:c r="I20" s="93" t="str">
        <x:v>No obvious change</x:v>
      </x:c>
      <x:c r="J20" s="93" t="str">
        <x:v>None observed</x:v>
      </x:c>
      <x:c r="K20" s="93" t="str">
        <x:v>None observed</x:v>
      </x:c>
      <x:c r="L20" s="99" t="str">
        <x:v>Not recorded</x:v>
      </x:c>
      <x:c r="M20" s="100" t="str">
        <x:v>day4.jpg</x:v>
      </x:c>
      <x:c r="N20" s="100" t="str">
        <x:v>No obvious visual change reported.</x:v>
      </x:c>
    </x:row>
    <x:row r="21" ht="32" customHeight="1">
      <x:c r="A21" s="96" t="n">
        <x:v>4</x:v>
      </x:c>
      <x:c r="B21" s="96" t="n">
        <x:v>96</x:v>
      </x:c>
      <x:c r="C21" s="97" t="str">
        <x:v>Not recorded</x:v>
      </x:c>
      <x:c r="D21" s="98" t="str">
        <x:v>Not recorded</x:v>
      </x:c>
      <x:c r="E21" s="94" t="str">
        <x:v>C1</x:v>
      </x:c>
      <x:c r="F21" s="94" t="str">
        <x:v>Water control</x:v>
      </x:c>
      <x:c r="G21" s="94" t="str">
        <x:v>Ordinary water</x:v>
      </x:c>
      <x:c r="H21" s="93" t="str">
        <x:v>Not recorded</x:v>
      </x:c>
      <x:c r="I21" s="93" t="str">
        <x:v>No obvious change</x:v>
      </x:c>
      <x:c r="J21" s="93" t="str">
        <x:v>None observed</x:v>
      </x:c>
      <x:c r="K21" s="93" t="str">
        <x:v>None observed</x:v>
      </x:c>
      <x:c r="L21" s="99" t="str">
        <x:v>Not recorded</x:v>
      </x:c>
      <x:c r="M21" s="100" t="str">
        <x:v>day4.jpg</x:v>
      </x:c>
      <x:c r="N21" s="100" t="str">
        <x:v>No obvious visual change reported.</x:v>
      </x:c>
    </x:row>
    <x:row r="22" ht="32" customHeight="1">
      <x:c r="A22" s="96" t="n">
        <x:v>4</x:v>
      </x:c>
      <x:c r="B22" s="96" t="n">
        <x:v>96</x:v>
      </x:c>
      <x:c r="C22" s="97" t="str">
        <x:v>Not recorded</x:v>
      </x:c>
      <x:c r="D22" s="98" t="str">
        <x:v>Not recorded</x:v>
      </x:c>
      <x:c r="E22" s="94" t="str">
        <x:v>C2</x:v>
      </x:c>
      <x:c r="F22" s="94" t="str">
        <x:v>Water control</x:v>
      </x:c>
      <x:c r="G22" s="94" t="str">
        <x:v>Ordinary water</x:v>
      </x:c>
      <x:c r="H22" s="93" t="str">
        <x:v>Not recorded</x:v>
      </x:c>
      <x:c r="I22" s="93" t="str">
        <x:v>No obvious change</x:v>
      </x:c>
      <x:c r="J22" s="93" t="str">
        <x:v>None observed</x:v>
      </x:c>
      <x:c r="K22" s="93" t="str">
        <x:v>None observed</x:v>
      </x:c>
      <x:c r="L22" s="99" t="str">
        <x:v>Not recorded</x:v>
      </x:c>
      <x:c r="M22" s="100" t="str">
        <x:v>day4.jpg</x:v>
      </x:c>
      <x:c r="N22" s="100" t="str">
        <x:v>No obvious visual change reported.</x:v>
      </x:c>
    </x:row>
    <x:row r="23" ht="32" customHeight="1">
      <x:c r="A23" s="96" t="n">
        <x:v>5</x:v>
      </x:c>
      <x:c r="B23" s="96" t="n">
        <x:v>120</x:v>
      </x:c>
      <x:c r="C23" s="97" t="str">
        <x:v>Not recorded</x:v>
      </x:c>
      <x:c r="D23" s="98" t="str">
        <x:v>Not recorded</x:v>
      </x:c>
      <x:c r="E23" s="94" t="str">
        <x:v>S1</x:v>
      </x:c>
      <x:c r="F23" s="94" t="str">
        <x:v>Saline exposure</x:v>
      </x:c>
      <x:c r="G23" s="94" t="str">
        <x:v>3.5% NaCl solution</x:v>
      </x:c>
      <x:c r="H23" s="93" t="str">
        <x:v>Not recorded</x:v>
      </x:c>
      <x:c r="I23" s="93" t="str">
        <x:v>No obvious change</x:v>
      </x:c>
      <x:c r="J23" s="93" t="str">
        <x:v>None observed</x:v>
      </x:c>
      <x:c r="K23" s="93" t="str">
        <x:v>None observed</x:v>
      </x:c>
      <x:c r="L23" s="99" t="str">
        <x:v>Not recorded</x:v>
      </x:c>
      <x:c r="M23" s="100" t="str">
        <x:v>day5.jpg</x:v>
      </x:c>
      <x:c r="N23" s="100" t="str">
        <x:v>No obvious macroscopic change in liquid clarity, deposits, or electrode appearance at the 120-hour endpoint.</x:v>
      </x:c>
    </x:row>
    <x:row r="24" ht="32" customHeight="1">
      <x:c r="A24" s="96" t="n">
        <x:v>5</x:v>
      </x:c>
      <x:c r="B24" s="96" t="n">
        <x:v>120</x:v>
      </x:c>
      <x:c r="C24" s="97" t="str">
        <x:v>Not recorded</x:v>
      </x:c>
      <x:c r="D24" s="98" t="str">
        <x:v>Not recorded</x:v>
      </x:c>
      <x:c r="E24" s="94" t="str">
        <x:v>S2</x:v>
      </x:c>
      <x:c r="F24" s="94" t="str">
        <x:v>Saline exposure</x:v>
      </x:c>
      <x:c r="G24" s="94" t="str">
        <x:v>3.5% NaCl solution</x:v>
      </x:c>
      <x:c r="H24" s="93" t="str">
        <x:v>Not recorded</x:v>
      </x:c>
      <x:c r="I24" s="93" t="str">
        <x:v>No obvious change</x:v>
      </x:c>
      <x:c r="J24" s="93" t="str">
        <x:v>None observed</x:v>
      </x:c>
      <x:c r="K24" s="93" t="str">
        <x:v>None observed</x:v>
      </x:c>
      <x:c r="L24" s="99" t="str">
        <x:v>Not recorded</x:v>
      </x:c>
      <x:c r="M24" s="100" t="str">
        <x:v>day5.jpg</x:v>
      </x:c>
      <x:c r="N24" s="100" t="str">
        <x:v>No obvious macroscopic change in liquid clarity, deposits, or electrode appearance at the 120-hour endpoint.</x:v>
      </x:c>
    </x:row>
    <x:row r="25" ht="32" customHeight="1">
      <x:c r="A25" s="96" t="n">
        <x:v>5</x:v>
      </x:c>
      <x:c r="B25" s="96" t="n">
        <x:v>120</x:v>
      </x:c>
      <x:c r="C25" s="97" t="str">
        <x:v>Not recorded</x:v>
      </x:c>
      <x:c r="D25" s="98" t="str">
        <x:v>Not recorded</x:v>
      </x:c>
      <x:c r="E25" s="94" t="str">
        <x:v>C1</x:v>
      </x:c>
      <x:c r="F25" s="94" t="str">
        <x:v>Water control</x:v>
      </x:c>
      <x:c r="G25" s="94" t="str">
        <x:v>Ordinary water</x:v>
      </x:c>
      <x:c r="H25" s="93" t="str">
        <x:v>Not recorded</x:v>
      </x:c>
      <x:c r="I25" s="93" t="str">
        <x:v>No obvious change</x:v>
      </x:c>
      <x:c r="J25" s="93" t="str">
        <x:v>None observed</x:v>
      </x:c>
      <x:c r="K25" s="93" t="str">
        <x:v>None observed</x:v>
      </x:c>
      <x:c r="L25" s="99" t="str">
        <x:v>Not recorded</x:v>
      </x:c>
      <x:c r="M25" s="100" t="str">
        <x:v>day5.jpg</x:v>
      </x:c>
      <x:c r="N25" s="100" t="str">
        <x:v>No obvious macroscopic change in liquid clarity, deposits, or electrode appearance at the 120-hour endpoint.</x:v>
      </x:c>
    </x:row>
    <x:row r="26" ht="32" customHeight="1">
      <x:c r="A26" s="96" t="n">
        <x:v>5</x:v>
      </x:c>
      <x:c r="B26" s="96" t="n">
        <x:v>120</x:v>
      </x:c>
      <x:c r="C26" s="97" t="str">
        <x:v>Not recorded</x:v>
      </x:c>
      <x:c r="D26" s="98" t="str">
        <x:v>Not recorded</x:v>
      </x:c>
      <x:c r="E26" s="94" t="str">
        <x:v>C2</x:v>
      </x:c>
      <x:c r="F26" s="94" t="str">
        <x:v>Water control</x:v>
      </x:c>
      <x:c r="G26" s="94" t="str">
        <x:v>Ordinary water</x:v>
      </x:c>
      <x:c r="H26" s="93" t="str">
        <x:v>Not recorded</x:v>
      </x:c>
      <x:c r="I26" s="93" t="str">
        <x:v>No obvious change</x:v>
      </x:c>
      <x:c r="J26" s="93" t="str">
        <x:v>None observed</x:v>
      </x:c>
      <x:c r="K26" s="93" t="str">
        <x:v>None observed</x:v>
      </x:c>
      <x:c r="L26" s="99" t="str">
        <x:v>Not recorded</x:v>
      </x:c>
      <x:c r="M26" s="100" t="str">
        <x:v>day5.jpg</x:v>
      </x:c>
      <x:c r="N26" s="100" t="str">
        <x:v>No obvious macroscopic change in liquid clarity, deposits, or electrode appearance at the 120-hour endpoint.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e9a80fa4f91a48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0.329999923706055" hidden="0" customWidth="1"/>
    <x:col min="4" max="4" width="21" hidden="0" customWidth="1"/>
    <x:col min="5" max="5" width="15" hidden="0" customWidth="1"/>
    <x:col min="6" max="6" width="6.110000133514404" hidden="0" customWidth="1"/>
    <x:col min="7" max="7" width="12.5600004196167" hidden="0" customWidth="1"/>
    <x:col min="8" max="8" width="14" hidden="0" customWidth="1"/>
    <x:col min="9" max="9" width="29" hidden="0" customWidth="1"/>
  </x:cols>
  <x:sheetData>
    <x:row r="1" ht="30" customHeight="1">
      <x:c r="A1" s="46" t="str">
        <x:v>Post-Exposure Raw Data — 120-Hour Endpoint</x:v>
      </x:c>
      <x:c r="B1" s="46"/>
      <x:c r="C1" s="46"/>
      <x:c r="D1" s="46"/>
      <x:c r="E1" s="46"/>
      <x:c r="F1" s="46"/>
      <x:c r="G1" s="46"/>
      <x:c r="H1" s="46"/>
      <x:c r="I1" s="46"/>
    </x:row>
    <x:row r="2" ht="34" customHeight="1">
      <x:c r="A2" s="8" t="str">
        <x:v>Record ID</x:v>
      </x:c>
      <x:c r="B2" s="9" t="str">
        <x:v>Group</x:v>
      </x:c>
      <x:c r="C2" s="9" t="str">
        <x:v>Sensor ID</x:v>
      </x:c>
      <x:c r="D2" s="9" t="str">
        <x:v>Exposure liquid</x:v>
      </x:c>
      <x:c r="E2" s="9" t="str">
        <x:v>Water added (g)</x:v>
      </x:c>
      <x:c r="F2" s="9" t="str">
        <x:v>Trial</x:v>
      </x:c>
      <x:c r="G2" s="9" t="str">
        <x:v>ADC reading</x:v>
      </x:c>
      <x:c r="H2" s="9" t="str">
        <x:v>Data status</x:v>
      </x:c>
      <x:c r="I2" s="10" t="str">
        <x:v>Note</x:v>
      </x:c>
    </x:row>
    <x:row r="3">
      <x:c r="A3" s="28" t="n">
        <x:v>1</x:v>
      </x:c>
      <x:c r="B3" s="28" t="str">
        <x:v>Saline exposure</x:v>
      </x:c>
      <x:c r="C3" s="28" t="str">
        <x:v>S1</x:v>
      </x:c>
      <x:c r="D3" s="28" t="str">
        <x:v>3.5% NaCl solution</x:v>
      </x:c>
      <x:c r="E3" s="28" t="n">
        <x:v>0</x:v>
      </x:c>
      <x:c r="F3" s="28" t="n">
        <x:v>1</x:v>
      </x:c>
      <x:c r="G3" s="93" t="n">
        <x:v>3755</x:v>
      </x:c>
      <x:c r="H3" s="94" t="str">
        <x:v>Formal post-exposure</x:v>
      </x:c>
      <x:c r="I3" s="94"/>
    </x:row>
    <x:row r="4">
      <x:c r="A4" s="28" t="n">
        <x:v>2</x:v>
      </x:c>
      <x:c r="B4" s="28" t="str">
        <x:v>Saline exposure</x:v>
      </x:c>
      <x:c r="C4" s="28" t="str">
        <x:v>S1</x:v>
      </x:c>
      <x:c r="D4" s="28" t="str">
        <x:v>3.5% NaCl solution</x:v>
      </x:c>
      <x:c r="E4" s="28" t="n">
        <x:v>0</x:v>
      </x:c>
      <x:c r="F4" s="28" t="n">
        <x:v>2</x:v>
      </x:c>
      <x:c r="G4" s="93" t="n">
        <x:v>3757</x:v>
      </x:c>
      <x:c r="H4" s="94" t="str">
        <x:v>Formal post-exposure</x:v>
      </x:c>
      <x:c r="I4" s="94"/>
    </x:row>
    <x:row r="5">
      <x:c r="A5" s="28" t="n">
        <x:v>3</x:v>
      </x:c>
      <x:c r="B5" s="28" t="str">
        <x:v>Saline exposure</x:v>
      </x:c>
      <x:c r="C5" s="28" t="str">
        <x:v>S1</x:v>
      </x:c>
      <x:c r="D5" s="28" t="str">
        <x:v>3.5% NaCl solution</x:v>
      </x:c>
      <x:c r="E5" s="28" t="n">
        <x:v>0</x:v>
      </x:c>
      <x:c r="F5" s="28" t="n">
        <x:v>3</x:v>
      </x:c>
      <x:c r="G5" s="93" t="n">
        <x:v>3759</x:v>
      </x:c>
      <x:c r="H5" s="94" t="str">
        <x:v>Formal post-exposure</x:v>
      </x:c>
      <x:c r="I5" s="94"/>
    </x:row>
    <x:row r="6">
      <x:c r="A6" s="28" t="n">
        <x:v>4</x:v>
      </x:c>
      <x:c r="B6" s="28" t="str">
        <x:v>Saline exposure</x:v>
      </x:c>
      <x:c r="C6" s="28" t="str">
        <x:v>S1</x:v>
      </x:c>
      <x:c r="D6" s="28" t="str">
        <x:v>3.5% NaCl solution</x:v>
      </x:c>
      <x:c r="E6" s="28" t="n">
        <x:v>0</x:v>
      </x:c>
      <x:c r="F6" s="28" t="n">
        <x:v>4</x:v>
      </x:c>
      <x:c r="G6" s="93" t="n">
        <x:v>3759</x:v>
      </x:c>
      <x:c r="H6" s="94" t="str">
        <x:v>Formal post-exposure</x:v>
      </x:c>
      <x:c r="I6" s="94"/>
    </x:row>
    <x:row r="7">
      <x:c r="A7" s="28" t="n">
        <x:v>5</x:v>
      </x:c>
      <x:c r="B7" s="28" t="str">
        <x:v>Saline exposure</x:v>
      </x:c>
      <x:c r="C7" s="28" t="str">
        <x:v>S1</x:v>
      </x:c>
      <x:c r="D7" s="28" t="str">
        <x:v>3.5% NaCl solution</x:v>
      </x:c>
      <x:c r="E7" s="28" t="n">
        <x:v>0</x:v>
      </x:c>
      <x:c r="F7" s="28" t="n">
        <x:v>5</x:v>
      </x:c>
      <x:c r="G7" s="93" t="n">
        <x:v>3759</x:v>
      </x:c>
      <x:c r="H7" s="94" t="str">
        <x:v>Formal post-exposure</x:v>
      </x:c>
      <x:c r="I7" s="94"/>
    </x:row>
    <x:row r="8">
      <x:c r="A8" s="28" t="n">
        <x:v>6</x:v>
      </x:c>
      <x:c r="B8" s="28" t="str">
        <x:v>Saline exposure</x:v>
      </x:c>
      <x:c r="C8" s="28" t="str">
        <x:v>S1</x:v>
      </x:c>
      <x:c r="D8" s="28" t="str">
        <x:v>3.5% NaCl solution</x:v>
      </x:c>
      <x:c r="E8" s="28" t="n">
        <x:v>20</x:v>
      </x:c>
      <x:c r="F8" s="28" t="n">
        <x:v>1</x:v>
      </x:c>
      <x:c r="G8" s="93" t="n">
        <x:v>1040</x:v>
      </x:c>
      <x:c r="H8" s="94" t="str">
        <x:v>Formal post-exposure</x:v>
      </x:c>
      <x:c r="I8" s="94"/>
    </x:row>
    <x:row r="9">
      <x:c r="A9" s="28" t="n">
        <x:v>7</x:v>
      </x:c>
      <x:c r="B9" s="28" t="str">
        <x:v>Saline exposure</x:v>
      </x:c>
      <x:c r="C9" s="28" t="str">
        <x:v>S1</x:v>
      </x:c>
      <x:c r="D9" s="28" t="str">
        <x:v>3.5% NaCl solution</x:v>
      </x:c>
      <x:c r="E9" s="28" t="n">
        <x:v>20</x:v>
      </x:c>
      <x:c r="F9" s="28" t="n">
        <x:v>2</x:v>
      </x:c>
      <x:c r="G9" s="93" t="n">
        <x:v>1041</x:v>
      </x:c>
      <x:c r="H9" s="94" t="str">
        <x:v>Formal post-exposure</x:v>
      </x:c>
      <x:c r="I9" s="94"/>
    </x:row>
    <x:row r="10">
      <x:c r="A10" s="28" t="n">
        <x:v>8</x:v>
      </x:c>
      <x:c r="B10" s="28" t="str">
        <x:v>Saline exposure</x:v>
      </x:c>
      <x:c r="C10" s="28" t="str">
        <x:v>S1</x:v>
      </x:c>
      <x:c r="D10" s="28" t="str">
        <x:v>3.5% NaCl solution</x:v>
      </x:c>
      <x:c r="E10" s="28" t="n">
        <x:v>20</x:v>
      </x:c>
      <x:c r="F10" s="28" t="n">
        <x:v>3</x:v>
      </x:c>
      <x:c r="G10" s="93" t="n">
        <x:v>1044</x:v>
      </x:c>
      <x:c r="H10" s="94" t="str">
        <x:v>Formal post-exposure</x:v>
      </x:c>
      <x:c r="I10" s="94"/>
    </x:row>
    <x:row r="11">
      <x:c r="A11" s="28" t="n">
        <x:v>9</x:v>
      </x:c>
      <x:c r="B11" s="28" t="str">
        <x:v>Saline exposure</x:v>
      </x:c>
      <x:c r="C11" s="28" t="str">
        <x:v>S1</x:v>
      </x:c>
      <x:c r="D11" s="28" t="str">
        <x:v>3.5% NaCl solution</x:v>
      </x:c>
      <x:c r="E11" s="28" t="n">
        <x:v>20</x:v>
      </x:c>
      <x:c r="F11" s="28" t="n">
        <x:v>4</x:v>
      </x:c>
      <x:c r="G11" s="93" t="n">
        <x:v>1046</x:v>
      </x:c>
      <x:c r="H11" s="94" t="str">
        <x:v>Formal post-exposure</x:v>
      </x:c>
      <x:c r="I11" s="94"/>
    </x:row>
    <x:row r="12">
      <x:c r="A12" s="28" t="n">
        <x:v>10</x:v>
      </x:c>
      <x:c r="B12" s="28" t="str">
        <x:v>Saline exposure</x:v>
      </x:c>
      <x:c r="C12" s="28" t="str">
        <x:v>S1</x:v>
      </x:c>
      <x:c r="D12" s="28" t="str">
        <x:v>3.5% NaCl solution</x:v>
      </x:c>
      <x:c r="E12" s="28" t="n">
        <x:v>20</x:v>
      </x:c>
      <x:c r="F12" s="28" t="n">
        <x:v>5</x:v>
      </x:c>
      <x:c r="G12" s="93" t="n">
        <x:v>1044</x:v>
      </x:c>
      <x:c r="H12" s="94" t="str">
        <x:v>Formal post-exposure</x:v>
      </x:c>
      <x:c r="I12" s="94"/>
    </x:row>
    <x:row r="13">
      <x:c r="A13" s="28" t="n">
        <x:v>11</x:v>
      </x:c>
      <x:c r="B13" s="28" t="str">
        <x:v>Saline exposure</x:v>
      </x:c>
      <x:c r="C13" s="28" t="str">
        <x:v>S1</x:v>
      </x:c>
      <x:c r="D13" s="28" t="str">
        <x:v>3.5% NaCl solution</x:v>
      </x:c>
      <x:c r="E13" s="28" t="n">
        <x:v>40</x:v>
      </x:c>
      <x:c r="F13" s="28" t="n">
        <x:v>1</x:v>
      </x:c>
      <x:c r="G13" s="93" t="n">
        <x:v>624</x:v>
      </x:c>
      <x:c r="H13" s="94" t="str">
        <x:v>Formal post-exposure</x:v>
      </x:c>
      <x:c r="I13" s="94"/>
    </x:row>
    <x:row r="14">
      <x:c r="A14" s="28" t="n">
        <x:v>12</x:v>
      </x:c>
      <x:c r="B14" s="28" t="str">
        <x:v>Saline exposure</x:v>
      </x:c>
      <x:c r="C14" s="28" t="str">
        <x:v>S1</x:v>
      </x:c>
      <x:c r="D14" s="28" t="str">
        <x:v>3.5% NaCl solution</x:v>
      </x:c>
      <x:c r="E14" s="28" t="n">
        <x:v>40</x:v>
      </x:c>
      <x:c r="F14" s="28" t="n">
        <x:v>2</x:v>
      </x:c>
      <x:c r="G14" s="93" t="n">
        <x:v>624</x:v>
      </x:c>
      <x:c r="H14" s="94" t="str">
        <x:v>Formal post-exposure</x:v>
      </x:c>
      <x:c r="I14" s="94"/>
    </x:row>
    <x:row r="15">
      <x:c r="A15" s="28" t="n">
        <x:v>13</x:v>
      </x:c>
      <x:c r="B15" s="28" t="str">
        <x:v>Saline exposure</x:v>
      </x:c>
      <x:c r="C15" s="28" t="str">
        <x:v>S1</x:v>
      </x:c>
      <x:c r="D15" s="28" t="str">
        <x:v>3.5% NaCl solution</x:v>
      </x:c>
      <x:c r="E15" s="28" t="n">
        <x:v>40</x:v>
      </x:c>
      <x:c r="F15" s="28" t="n">
        <x:v>3</x:v>
      </x:c>
      <x:c r="G15" s="93" t="n">
        <x:v>626</x:v>
      </x:c>
      <x:c r="H15" s="94" t="str">
        <x:v>Formal post-exposure</x:v>
      </x:c>
      <x:c r="I15" s="94"/>
    </x:row>
    <x:row r="16">
      <x:c r="A16" s="28" t="n">
        <x:v>14</x:v>
      </x:c>
      <x:c r="B16" s="28" t="str">
        <x:v>Saline exposure</x:v>
      </x:c>
      <x:c r="C16" s="28" t="str">
        <x:v>S1</x:v>
      </x:c>
      <x:c r="D16" s="28" t="str">
        <x:v>3.5% NaCl solution</x:v>
      </x:c>
      <x:c r="E16" s="28" t="n">
        <x:v>40</x:v>
      </x:c>
      <x:c r="F16" s="28" t="n">
        <x:v>4</x:v>
      </x:c>
      <x:c r="G16" s="93" t="n">
        <x:v>627</x:v>
      </x:c>
      <x:c r="H16" s="94" t="str">
        <x:v>Formal post-exposure</x:v>
      </x:c>
      <x:c r="I16" s="94"/>
    </x:row>
    <x:row r="17">
      <x:c r="A17" s="28" t="n">
        <x:v>15</x:v>
      </x:c>
      <x:c r="B17" s="28" t="str">
        <x:v>Saline exposure</x:v>
      </x:c>
      <x:c r="C17" s="28" t="str">
        <x:v>S1</x:v>
      </x:c>
      <x:c r="D17" s="28" t="str">
        <x:v>3.5% NaCl solution</x:v>
      </x:c>
      <x:c r="E17" s="28" t="n">
        <x:v>40</x:v>
      </x:c>
      <x:c r="F17" s="28" t="n">
        <x:v>5</x:v>
      </x:c>
      <x:c r="G17" s="93" t="n">
        <x:v>624</x:v>
      </x:c>
      <x:c r="H17" s="94" t="str">
        <x:v>Formal post-exposure</x:v>
      </x:c>
      <x:c r="I17" s="94"/>
    </x:row>
    <x:row r="18">
      <x:c r="A18" s="28" t="n">
        <x:v>16</x:v>
      </x:c>
      <x:c r="B18" s="28" t="str">
        <x:v>Saline exposure</x:v>
      </x:c>
      <x:c r="C18" s="28" t="str">
        <x:v>S2</x:v>
      </x:c>
      <x:c r="D18" s="28" t="str">
        <x:v>3.5% NaCl solution</x:v>
      </x:c>
      <x:c r="E18" s="28" t="n">
        <x:v>0</x:v>
      </x:c>
      <x:c r="F18" s="28" t="n">
        <x:v>1</x:v>
      </x:c>
      <x:c r="G18" s="93" t="n">
        <x:v>4079</x:v>
      </x:c>
      <x:c r="H18" s="94" t="str">
        <x:v>Formal post-exposure</x:v>
      </x:c>
      <x:c r="I18" s="94"/>
    </x:row>
    <x:row r="19">
      <x:c r="A19" s="28" t="n">
        <x:v>17</x:v>
      </x:c>
      <x:c r="B19" s="28" t="str">
        <x:v>Saline exposure</x:v>
      </x:c>
      <x:c r="C19" s="28" t="str">
        <x:v>S2</x:v>
      </x:c>
      <x:c r="D19" s="28" t="str">
        <x:v>3.5% NaCl solution</x:v>
      </x:c>
      <x:c r="E19" s="28" t="n">
        <x:v>0</x:v>
      </x:c>
      <x:c r="F19" s="28" t="n">
        <x:v>2</x:v>
      </x:c>
      <x:c r="G19" s="93" t="n">
        <x:v>4079</x:v>
      </x:c>
      <x:c r="H19" s="94" t="str">
        <x:v>Formal post-exposure</x:v>
      </x:c>
      <x:c r="I19" s="94"/>
    </x:row>
    <x:row r="20">
      <x:c r="A20" s="28" t="n">
        <x:v>18</x:v>
      </x:c>
      <x:c r="B20" s="28" t="str">
        <x:v>Saline exposure</x:v>
      </x:c>
      <x:c r="C20" s="28" t="str">
        <x:v>S2</x:v>
      </x:c>
      <x:c r="D20" s="28" t="str">
        <x:v>3.5% NaCl solution</x:v>
      </x:c>
      <x:c r="E20" s="28" t="n">
        <x:v>0</x:v>
      </x:c>
      <x:c r="F20" s="28" t="n">
        <x:v>3</x:v>
      </x:c>
      <x:c r="G20" s="93" t="n">
        <x:v>4080</x:v>
      </x:c>
      <x:c r="H20" s="94" t="str">
        <x:v>Formal post-exposure</x:v>
      </x:c>
      <x:c r="I20" s="94"/>
    </x:row>
    <x:row r="21">
      <x:c r="A21" s="28" t="n">
        <x:v>19</x:v>
      </x:c>
      <x:c r="B21" s="28" t="str">
        <x:v>Saline exposure</x:v>
      </x:c>
      <x:c r="C21" s="28" t="str">
        <x:v>S2</x:v>
      </x:c>
      <x:c r="D21" s="28" t="str">
        <x:v>3.5% NaCl solution</x:v>
      </x:c>
      <x:c r="E21" s="28" t="n">
        <x:v>0</x:v>
      </x:c>
      <x:c r="F21" s="28" t="n">
        <x:v>4</x:v>
      </x:c>
      <x:c r="G21" s="93" t="n">
        <x:v>4082</x:v>
      </x:c>
      <x:c r="H21" s="94" t="str">
        <x:v>Formal post-exposure</x:v>
      </x:c>
      <x:c r="I21" s="94"/>
    </x:row>
    <x:row r="22">
      <x:c r="A22" s="28" t="n">
        <x:v>20</x:v>
      </x:c>
      <x:c r="B22" s="28" t="str">
        <x:v>Saline exposure</x:v>
      </x:c>
      <x:c r="C22" s="28" t="str">
        <x:v>S2</x:v>
      </x:c>
      <x:c r="D22" s="28" t="str">
        <x:v>3.5% NaCl solution</x:v>
      </x:c>
      <x:c r="E22" s="28" t="n">
        <x:v>0</x:v>
      </x:c>
      <x:c r="F22" s="28" t="n">
        <x:v>5</x:v>
      </x:c>
      <x:c r="G22" s="93" t="n">
        <x:v>4084</x:v>
      </x:c>
      <x:c r="H22" s="94" t="str">
        <x:v>Formal post-exposure</x:v>
      </x:c>
      <x:c r="I22" s="94"/>
    </x:row>
    <x:row r="23">
      <x:c r="A23" s="28" t="n">
        <x:v>21</x:v>
      </x:c>
      <x:c r="B23" s="28" t="str">
        <x:v>Saline exposure</x:v>
      </x:c>
      <x:c r="C23" s="28" t="str">
        <x:v>S2</x:v>
      </x:c>
      <x:c r="D23" s="28" t="str">
        <x:v>3.5% NaCl solution</x:v>
      </x:c>
      <x:c r="E23" s="28" t="n">
        <x:v>20</x:v>
      </x:c>
      <x:c r="F23" s="28" t="n">
        <x:v>1</x:v>
      </x:c>
      <x:c r="G23" s="93" t="n">
        <x:v>810</x:v>
      </x:c>
      <x:c r="H23" s="94" t="str">
        <x:v>Formal post-exposure</x:v>
      </x:c>
      <x:c r="I23" s="94"/>
    </x:row>
    <x:row r="24">
      <x:c r="A24" s="28" t="n">
        <x:v>22</x:v>
      </x:c>
      <x:c r="B24" s="28" t="str">
        <x:v>Saline exposure</x:v>
      </x:c>
      <x:c r="C24" s="28" t="str">
        <x:v>S2</x:v>
      </x:c>
      <x:c r="D24" s="28" t="str">
        <x:v>3.5% NaCl solution</x:v>
      </x:c>
      <x:c r="E24" s="28" t="n">
        <x:v>20</x:v>
      </x:c>
      <x:c r="F24" s="28" t="n">
        <x:v>2</x:v>
      </x:c>
      <x:c r="G24" s="93" t="n">
        <x:v>809</x:v>
      </x:c>
      <x:c r="H24" s="94" t="str">
        <x:v>Formal post-exposure</x:v>
      </x:c>
      <x:c r="I24" s="94"/>
    </x:row>
    <x:row r="25">
      <x:c r="A25" s="28" t="n">
        <x:v>23</x:v>
      </x:c>
      <x:c r="B25" s="28" t="str">
        <x:v>Saline exposure</x:v>
      </x:c>
      <x:c r="C25" s="28" t="str">
        <x:v>S2</x:v>
      </x:c>
      <x:c r="D25" s="28" t="str">
        <x:v>3.5% NaCl solution</x:v>
      </x:c>
      <x:c r="E25" s="28" t="n">
        <x:v>20</x:v>
      </x:c>
      <x:c r="F25" s="28" t="n">
        <x:v>3</x:v>
      </x:c>
      <x:c r="G25" s="93" t="n">
        <x:v>811</x:v>
      </x:c>
      <x:c r="H25" s="94" t="str">
        <x:v>Formal post-exposure</x:v>
      </x:c>
      <x:c r="I25" s="94"/>
    </x:row>
    <x:row r="26">
      <x:c r="A26" s="28" t="n">
        <x:v>24</x:v>
      </x:c>
      <x:c r="B26" s="28" t="str">
        <x:v>Saline exposure</x:v>
      </x:c>
      <x:c r="C26" s="28" t="str">
        <x:v>S2</x:v>
      </x:c>
      <x:c r="D26" s="28" t="str">
        <x:v>3.5% NaCl solution</x:v>
      </x:c>
      <x:c r="E26" s="28" t="n">
        <x:v>20</x:v>
      </x:c>
      <x:c r="F26" s="28" t="n">
        <x:v>4</x:v>
      </x:c>
      <x:c r="G26" s="93" t="n">
        <x:v>813</x:v>
      </x:c>
      <x:c r="H26" s="94" t="str">
        <x:v>Formal post-exposure</x:v>
      </x:c>
      <x:c r="I26" s="94"/>
    </x:row>
    <x:row r="27">
      <x:c r="A27" s="28" t="n">
        <x:v>25</x:v>
      </x:c>
      <x:c r="B27" s="28" t="str">
        <x:v>Saline exposure</x:v>
      </x:c>
      <x:c r="C27" s="28" t="str">
        <x:v>S2</x:v>
      </x:c>
      <x:c r="D27" s="28" t="str">
        <x:v>3.5% NaCl solution</x:v>
      </x:c>
      <x:c r="E27" s="28" t="n">
        <x:v>20</x:v>
      </x:c>
      <x:c r="F27" s="28" t="n">
        <x:v>5</x:v>
      </x:c>
      <x:c r="G27" s="93" t="n">
        <x:v>814</x:v>
      </x:c>
      <x:c r="H27" s="94" t="str">
        <x:v>Formal post-exposure</x:v>
      </x:c>
      <x:c r="I27" s="94"/>
    </x:row>
    <x:row r="28">
      <x:c r="A28" s="28" t="n">
        <x:v>26</x:v>
      </x:c>
      <x:c r="B28" s="28" t="str">
        <x:v>Saline exposure</x:v>
      </x:c>
      <x:c r="C28" s="28" t="str">
        <x:v>S2</x:v>
      </x:c>
      <x:c r="D28" s="28" t="str">
        <x:v>3.5% NaCl solution</x:v>
      </x:c>
      <x:c r="E28" s="28" t="n">
        <x:v>40</x:v>
      </x:c>
      <x:c r="F28" s="28" t="n">
        <x:v>1</x:v>
      </x:c>
      <x:c r="G28" s="93" t="n">
        <x:v>566</x:v>
      </x:c>
      <x:c r="H28" s="94" t="str">
        <x:v>Formal post-exposure</x:v>
      </x:c>
      <x:c r="I28" s="94"/>
    </x:row>
    <x:row r="29">
      <x:c r="A29" s="28" t="n">
        <x:v>27</x:v>
      </x:c>
      <x:c r="B29" s="28" t="str">
        <x:v>Saline exposure</x:v>
      </x:c>
      <x:c r="C29" s="28" t="str">
        <x:v>S2</x:v>
      </x:c>
      <x:c r="D29" s="28" t="str">
        <x:v>3.5% NaCl solution</x:v>
      </x:c>
      <x:c r="E29" s="28" t="n">
        <x:v>40</x:v>
      </x:c>
      <x:c r="F29" s="28" t="n">
        <x:v>2</x:v>
      </x:c>
      <x:c r="G29" s="93" t="n">
        <x:v>569</x:v>
      </x:c>
      <x:c r="H29" s="94" t="str">
        <x:v>Formal post-exposure</x:v>
      </x:c>
      <x:c r="I29" s="94"/>
    </x:row>
    <x:row r="30">
      <x:c r="A30" s="28" t="n">
        <x:v>28</x:v>
      </x:c>
      <x:c r="B30" s="28" t="str">
        <x:v>Saline exposure</x:v>
      </x:c>
      <x:c r="C30" s="28" t="str">
        <x:v>S2</x:v>
      </x:c>
      <x:c r="D30" s="28" t="str">
        <x:v>3.5% NaCl solution</x:v>
      </x:c>
      <x:c r="E30" s="28" t="n">
        <x:v>40</x:v>
      </x:c>
      <x:c r="F30" s="28" t="n">
        <x:v>3</x:v>
      </x:c>
      <x:c r="G30" s="93" t="n">
        <x:v>570</x:v>
      </x:c>
      <x:c r="H30" s="94" t="str">
        <x:v>Formal post-exposure</x:v>
      </x:c>
      <x:c r="I30" s="94"/>
    </x:row>
    <x:row r="31">
      <x:c r="A31" s="28" t="n">
        <x:v>29</x:v>
      </x:c>
      <x:c r="B31" s="28" t="str">
        <x:v>Saline exposure</x:v>
      </x:c>
      <x:c r="C31" s="28" t="str">
        <x:v>S2</x:v>
      </x:c>
      <x:c r="D31" s="28" t="str">
        <x:v>3.5% NaCl solution</x:v>
      </x:c>
      <x:c r="E31" s="28" t="n">
        <x:v>40</x:v>
      </x:c>
      <x:c r="F31" s="28" t="n">
        <x:v>4</x:v>
      </x:c>
      <x:c r="G31" s="93" t="n">
        <x:v>572</x:v>
      </x:c>
      <x:c r="H31" s="94" t="str">
        <x:v>Formal post-exposure</x:v>
      </x:c>
      <x:c r="I31" s="94"/>
    </x:row>
    <x:row r="32">
      <x:c r="A32" s="28" t="n">
        <x:v>30</x:v>
      </x:c>
      <x:c r="B32" s="28" t="str">
        <x:v>Saline exposure</x:v>
      </x:c>
      <x:c r="C32" s="28" t="str">
        <x:v>S2</x:v>
      </x:c>
      <x:c r="D32" s="28" t="str">
        <x:v>3.5% NaCl solution</x:v>
      </x:c>
      <x:c r="E32" s="28" t="n">
        <x:v>40</x:v>
      </x:c>
      <x:c r="F32" s="28" t="n">
        <x:v>5</x:v>
      </x:c>
      <x:c r="G32" s="93" t="n">
        <x:v>575</x:v>
      </x:c>
      <x:c r="H32" s="94" t="str">
        <x:v>Formal post-exposure</x:v>
      </x:c>
      <x:c r="I32" s="94"/>
    </x:row>
    <x:row r="33">
      <x:c r="A33" s="28" t="n">
        <x:v>31</x:v>
      </x:c>
      <x:c r="B33" s="28" t="str">
        <x:v>Water control</x:v>
      </x:c>
      <x:c r="C33" s="28" t="str">
        <x:v>C1</x:v>
      </x:c>
      <x:c r="D33" s="28" t="str">
        <x:v>Ordinary water</x:v>
      </x:c>
      <x:c r="E33" s="28" t="n">
        <x:v>0</x:v>
      </x:c>
      <x:c r="F33" s="28" t="n">
        <x:v>1</x:v>
      </x:c>
      <x:c r="G33" s="93" t="n">
        <x:v>4095</x:v>
      </x:c>
      <x:c r="H33" s="94" t="str">
        <x:v>Formal post-exposure</x:v>
      </x:c>
      <x:c r="I33" s="94" t="str">
        <x:v>Dry-end ADC ceiling reading</x:v>
      </x:c>
    </x:row>
    <x:row r="34">
      <x:c r="A34" s="28" t="n">
        <x:v>32</x:v>
      </x:c>
      <x:c r="B34" s="28" t="str">
        <x:v>Water control</x:v>
      </x:c>
      <x:c r="C34" s="28" t="str">
        <x:v>C1</x:v>
      </x:c>
      <x:c r="D34" s="28" t="str">
        <x:v>Ordinary water</x:v>
      </x:c>
      <x:c r="E34" s="28" t="n">
        <x:v>0</x:v>
      </x:c>
      <x:c r="F34" s="28" t="n">
        <x:v>2</x:v>
      </x:c>
      <x:c r="G34" s="93" t="n">
        <x:v>4095</x:v>
      </x:c>
      <x:c r="H34" s="94" t="str">
        <x:v>Formal post-exposure</x:v>
      </x:c>
      <x:c r="I34" s="94" t="str">
        <x:v>Dry-end ADC ceiling reading</x:v>
      </x:c>
    </x:row>
    <x:row r="35">
      <x:c r="A35" s="28" t="n">
        <x:v>33</x:v>
      </x:c>
      <x:c r="B35" s="28" t="str">
        <x:v>Water control</x:v>
      </x:c>
      <x:c r="C35" s="28" t="str">
        <x:v>C1</x:v>
      </x:c>
      <x:c r="D35" s="28" t="str">
        <x:v>Ordinary water</x:v>
      </x:c>
      <x:c r="E35" s="28" t="n">
        <x:v>0</x:v>
      </x:c>
      <x:c r="F35" s="28" t="n">
        <x:v>3</x:v>
      </x:c>
      <x:c r="G35" s="93" t="n">
        <x:v>4095</x:v>
      </x:c>
      <x:c r="H35" s="94" t="str">
        <x:v>Formal post-exposure</x:v>
      </x:c>
      <x:c r="I35" s="94" t="str">
        <x:v>Dry-end ADC ceiling reading</x:v>
      </x:c>
    </x:row>
    <x:row r="36">
      <x:c r="A36" s="28" t="n">
        <x:v>34</x:v>
      </x:c>
      <x:c r="B36" s="28" t="str">
        <x:v>Water control</x:v>
      </x:c>
      <x:c r="C36" s="28" t="str">
        <x:v>C1</x:v>
      </x:c>
      <x:c r="D36" s="28" t="str">
        <x:v>Ordinary water</x:v>
      </x:c>
      <x:c r="E36" s="28" t="n">
        <x:v>0</x:v>
      </x:c>
      <x:c r="F36" s="28" t="n">
        <x:v>4</x:v>
      </x:c>
      <x:c r="G36" s="93" t="n">
        <x:v>4095</x:v>
      </x:c>
      <x:c r="H36" s="94" t="str">
        <x:v>Formal post-exposure</x:v>
      </x:c>
      <x:c r="I36" s="94" t="str">
        <x:v>Dry-end ADC ceiling reading</x:v>
      </x:c>
    </x:row>
    <x:row r="37">
      <x:c r="A37" s="28" t="n">
        <x:v>35</x:v>
      </x:c>
      <x:c r="B37" s="28" t="str">
        <x:v>Water control</x:v>
      </x:c>
      <x:c r="C37" s="28" t="str">
        <x:v>C1</x:v>
      </x:c>
      <x:c r="D37" s="28" t="str">
        <x:v>Ordinary water</x:v>
      </x:c>
      <x:c r="E37" s="28" t="n">
        <x:v>0</x:v>
      </x:c>
      <x:c r="F37" s="28" t="n">
        <x:v>5</x:v>
      </x:c>
      <x:c r="G37" s="93" t="n">
        <x:v>4095</x:v>
      </x:c>
      <x:c r="H37" s="94" t="str">
        <x:v>Formal post-exposure</x:v>
      </x:c>
      <x:c r="I37" s="94" t="str">
        <x:v>Dry-end ADC ceiling reading</x:v>
      </x:c>
    </x:row>
    <x:row r="38">
      <x:c r="A38" s="28" t="n">
        <x:v>36</x:v>
      </x:c>
      <x:c r="B38" s="28" t="str">
        <x:v>Water control</x:v>
      </x:c>
      <x:c r="C38" s="28" t="str">
        <x:v>C1</x:v>
      </x:c>
      <x:c r="D38" s="28" t="str">
        <x:v>Ordinary water</x:v>
      </x:c>
      <x:c r="E38" s="28" t="n">
        <x:v>20</x:v>
      </x:c>
      <x:c r="F38" s="28" t="n">
        <x:v>1</x:v>
      </x:c>
      <x:c r="G38" s="93" t="n">
        <x:v>1007</x:v>
      </x:c>
      <x:c r="H38" s="94" t="str">
        <x:v>Formal post-exposure</x:v>
      </x:c>
      <x:c r="I38" s="94"/>
    </x:row>
    <x:row r="39">
      <x:c r="A39" s="28" t="n">
        <x:v>37</x:v>
      </x:c>
      <x:c r="B39" s="28" t="str">
        <x:v>Water control</x:v>
      </x:c>
      <x:c r="C39" s="28" t="str">
        <x:v>C1</x:v>
      </x:c>
      <x:c r="D39" s="28" t="str">
        <x:v>Ordinary water</x:v>
      </x:c>
      <x:c r="E39" s="28" t="n">
        <x:v>20</x:v>
      </x:c>
      <x:c r="F39" s="28" t="n">
        <x:v>2</x:v>
      </x:c>
      <x:c r="G39" s="93" t="n">
        <x:v>1003</x:v>
      </x:c>
      <x:c r="H39" s="94" t="str">
        <x:v>Formal post-exposure</x:v>
      </x:c>
      <x:c r="I39" s="94"/>
    </x:row>
    <x:row r="40">
      <x:c r="A40" s="28" t="n">
        <x:v>38</x:v>
      </x:c>
      <x:c r="B40" s="28" t="str">
        <x:v>Water control</x:v>
      </x:c>
      <x:c r="C40" s="28" t="str">
        <x:v>C1</x:v>
      </x:c>
      <x:c r="D40" s="28" t="str">
        <x:v>Ordinary water</x:v>
      </x:c>
      <x:c r="E40" s="28" t="n">
        <x:v>20</x:v>
      </x:c>
      <x:c r="F40" s="28" t="n">
        <x:v>3</x:v>
      </x:c>
      <x:c r="G40" s="93" t="n">
        <x:v>998</x:v>
      </x:c>
      <x:c r="H40" s="94" t="str">
        <x:v>Formal post-exposure</x:v>
      </x:c>
      <x:c r="I40" s="94"/>
    </x:row>
    <x:row r="41">
      <x:c r="A41" s="28" t="n">
        <x:v>39</x:v>
      </x:c>
      <x:c r="B41" s="28" t="str">
        <x:v>Water control</x:v>
      </x:c>
      <x:c r="C41" s="28" t="str">
        <x:v>C1</x:v>
      </x:c>
      <x:c r="D41" s="28" t="str">
        <x:v>Ordinary water</x:v>
      </x:c>
      <x:c r="E41" s="28" t="n">
        <x:v>20</x:v>
      </x:c>
      <x:c r="F41" s="28" t="n">
        <x:v>4</x:v>
      </x:c>
      <x:c r="G41" s="93" t="n">
        <x:v>992</x:v>
      </x:c>
      <x:c r="H41" s="94" t="str">
        <x:v>Formal post-exposure</x:v>
      </x:c>
      <x:c r="I41" s="94"/>
    </x:row>
    <x:row r="42">
      <x:c r="A42" s="28" t="n">
        <x:v>40</x:v>
      </x:c>
      <x:c r="B42" s="28" t="str">
        <x:v>Water control</x:v>
      </x:c>
      <x:c r="C42" s="28" t="str">
        <x:v>C1</x:v>
      </x:c>
      <x:c r="D42" s="28" t="str">
        <x:v>Ordinary water</x:v>
      </x:c>
      <x:c r="E42" s="28" t="n">
        <x:v>20</x:v>
      </x:c>
      <x:c r="F42" s="28" t="n">
        <x:v>5</x:v>
      </x:c>
      <x:c r="G42" s="93" t="n">
        <x:v>989</x:v>
      </x:c>
      <x:c r="H42" s="94" t="str">
        <x:v>Formal post-exposure</x:v>
      </x:c>
      <x:c r="I42" s="94"/>
    </x:row>
    <x:row r="43">
      <x:c r="A43" s="28" t="n">
        <x:v>41</x:v>
      </x:c>
      <x:c r="B43" s="28" t="str">
        <x:v>Water control</x:v>
      </x:c>
      <x:c r="C43" s="28" t="str">
        <x:v>C1</x:v>
      </x:c>
      <x:c r="D43" s="28" t="str">
        <x:v>Ordinary water</x:v>
      </x:c>
      <x:c r="E43" s="28" t="n">
        <x:v>40</x:v>
      </x:c>
      <x:c r="F43" s="28" t="n">
        <x:v>1</x:v>
      </x:c>
      <x:c r="G43" s="93" t="n">
        <x:v>674</x:v>
      </x:c>
      <x:c r="H43" s="94" t="str">
        <x:v>Formal post-exposure</x:v>
      </x:c>
      <x:c r="I43" s="94"/>
    </x:row>
    <x:row r="44">
      <x:c r="A44" s="28" t="n">
        <x:v>42</x:v>
      </x:c>
      <x:c r="B44" s="28" t="str">
        <x:v>Water control</x:v>
      </x:c>
      <x:c r="C44" s="28" t="str">
        <x:v>C1</x:v>
      </x:c>
      <x:c r="D44" s="28" t="str">
        <x:v>Ordinary water</x:v>
      </x:c>
      <x:c r="E44" s="28" t="n">
        <x:v>40</x:v>
      </x:c>
      <x:c r="F44" s="28" t="n">
        <x:v>2</x:v>
      </x:c>
      <x:c r="G44" s="93" t="n">
        <x:v>682</x:v>
      </x:c>
      <x:c r="H44" s="94" t="str">
        <x:v>Formal post-exposure</x:v>
      </x:c>
      <x:c r="I44" s="94"/>
    </x:row>
    <x:row r="45">
      <x:c r="A45" s="28" t="n">
        <x:v>43</x:v>
      </x:c>
      <x:c r="B45" s="28" t="str">
        <x:v>Water control</x:v>
      </x:c>
      <x:c r="C45" s="28" t="str">
        <x:v>C1</x:v>
      </x:c>
      <x:c r="D45" s="28" t="str">
        <x:v>Ordinary water</x:v>
      </x:c>
      <x:c r="E45" s="28" t="n">
        <x:v>40</x:v>
      </x:c>
      <x:c r="F45" s="28" t="n">
        <x:v>3</x:v>
      </x:c>
      <x:c r="G45" s="93" t="n">
        <x:v>686</x:v>
      </x:c>
      <x:c r="H45" s="94" t="str">
        <x:v>Formal post-exposure</x:v>
      </x:c>
      <x:c r="I45" s="94"/>
    </x:row>
    <x:row r="46">
      <x:c r="A46" s="28" t="n">
        <x:v>44</x:v>
      </x:c>
      <x:c r="B46" s="28" t="str">
        <x:v>Water control</x:v>
      </x:c>
      <x:c r="C46" s="28" t="str">
        <x:v>C1</x:v>
      </x:c>
      <x:c r="D46" s="28" t="str">
        <x:v>Ordinary water</x:v>
      </x:c>
      <x:c r="E46" s="28" t="n">
        <x:v>40</x:v>
      </x:c>
      <x:c r="F46" s="28" t="n">
        <x:v>4</x:v>
      </x:c>
      <x:c r="G46" s="93" t="n">
        <x:v>688</x:v>
      </x:c>
      <x:c r="H46" s="94" t="str">
        <x:v>Formal post-exposure</x:v>
      </x:c>
      <x:c r="I46" s="94"/>
    </x:row>
    <x:row r="47">
      <x:c r="A47" s="28" t="n">
        <x:v>45</x:v>
      </x:c>
      <x:c r="B47" s="28" t="str">
        <x:v>Water control</x:v>
      </x:c>
      <x:c r="C47" s="28" t="str">
        <x:v>C1</x:v>
      </x:c>
      <x:c r="D47" s="28" t="str">
        <x:v>Ordinary water</x:v>
      </x:c>
      <x:c r="E47" s="28" t="n">
        <x:v>40</x:v>
      </x:c>
      <x:c r="F47" s="28" t="n">
        <x:v>5</x:v>
      </x:c>
      <x:c r="G47" s="93" t="n">
        <x:v>690</x:v>
      </x:c>
      <x:c r="H47" s="94" t="str">
        <x:v>Formal post-exposure</x:v>
      </x:c>
      <x:c r="I47" s="94"/>
    </x:row>
    <x:row r="48">
      <x:c r="A48" s="28" t="n">
        <x:v>46</x:v>
      </x:c>
      <x:c r="B48" s="28" t="str">
        <x:v>Water control</x:v>
      </x:c>
      <x:c r="C48" s="28" t="str">
        <x:v>C2</x:v>
      </x:c>
      <x:c r="D48" s="28" t="str">
        <x:v>Ordinary water</x:v>
      </x:c>
      <x:c r="E48" s="28" t="n">
        <x:v>0</x:v>
      </x:c>
      <x:c r="F48" s="28" t="n">
        <x:v>1</x:v>
      </x:c>
      <x:c r="G48" s="93" t="n">
        <x:v>4095</x:v>
      </x:c>
      <x:c r="H48" s="94" t="str">
        <x:v>Formal post-exposure</x:v>
      </x:c>
      <x:c r="I48" s="94" t="str">
        <x:v>Dry-end ADC ceiling reading</x:v>
      </x:c>
    </x:row>
    <x:row r="49">
      <x:c r="A49" s="28" t="n">
        <x:v>47</x:v>
      </x:c>
      <x:c r="B49" s="28" t="str">
        <x:v>Water control</x:v>
      </x:c>
      <x:c r="C49" s="28" t="str">
        <x:v>C2</x:v>
      </x:c>
      <x:c r="D49" s="28" t="str">
        <x:v>Ordinary water</x:v>
      </x:c>
      <x:c r="E49" s="28" t="n">
        <x:v>0</x:v>
      </x:c>
      <x:c r="F49" s="28" t="n">
        <x:v>2</x:v>
      </x:c>
      <x:c r="G49" s="93" t="n">
        <x:v>4095</x:v>
      </x:c>
      <x:c r="H49" s="94" t="str">
        <x:v>Formal post-exposure</x:v>
      </x:c>
      <x:c r="I49" s="94" t="str">
        <x:v>Dry-end ADC ceiling reading</x:v>
      </x:c>
    </x:row>
    <x:row r="50">
      <x:c r="A50" s="28" t="n">
        <x:v>48</x:v>
      </x:c>
      <x:c r="B50" s="28" t="str">
        <x:v>Water control</x:v>
      </x:c>
      <x:c r="C50" s="28" t="str">
        <x:v>C2</x:v>
      </x:c>
      <x:c r="D50" s="28" t="str">
        <x:v>Ordinary water</x:v>
      </x:c>
      <x:c r="E50" s="28" t="n">
        <x:v>0</x:v>
      </x:c>
      <x:c r="F50" s="28" t="n">
        <x:v>3</x:v>
      </x:c>
      <x:c r="G50" s="93" t="n">
        <x:v>4095</x:v>
      </x:c>
      <x:c r="H50" s="94" t="str">
        <x:v>Formal post-exposure</x:v>
      </x:c>
      <x:c r="I50" s="94" t="str">
        <x:v>Dry-end ADC ceiling reading</x:v>
      </x:c>
    </x:row>
    <x:row r="51">
      <x:c r="A51" s="28" t="n">
        <x:v>49</x:v>
      </x:c>
      <x:c r="B51" s="28" t="str">
        <x:v>Water control</x:v>
      </x:c>
      <x:c r="C51" s="28" t="str">
        <x:v>C2</x:v>
      </x:c>
      <x:c r="D51" s="28" t="str">
        <x:v>Ordinary water</x:v>
      </x:c>
      <x:c r="E51" s="28" t="n">
        <x:v>0</x:v>
      </x:c>
      <x:c r="F51" s="28" t="n">
        <x:v>4</x:v>
      </x:c>
      <x:c r="G51" s="93" t="n">
        <x:v>4095</x:v>
      </x:c>
      <x:c r="H51" s="94" t="str">
        <x:v>Formal post-exposure</x:v>
      </x:c>
      <x:c r="I51" s="94" t="str">
        <x:v>Dry-end ADC ceiling reading</x:v>
      </x:c>
    </x:row>
    <x:row r="52">
      <x:c r="A52" s="28" t="n">
        <x:v>50</x:v>
      </x:c>
      <x:c r="B52" s="28" t="str">
        <x:v>Water control</x:v>
      </x:c>
      <x:c r="C52" s="28" t="str">
        <x:v>C2</x:v>
      </x:c>
      <x:c r="D52" s="28" t="str">
        <x:v>Ordinary water</x:v>
      </x:c>
      <x:c r="E52" s="28" t="n">
        <x:v>0</x:v>
      </x:c>
      <x:c r="F52" s="28" t="n">
        <x:v>5</x:v>
      </x:c>
      <x:c r="G52" s="93" t="n">
        <x:v>4095</x:v>
      </x:c>
      <x:c r="H52" s="94" t="str">
        <x:v>Formal post-exposure</x:v>
      </x:c>
      <x:c r="I52" s="94" t="str">
        <x:v>Dry-end ADC ceiling reading</x:v>
      </x:c>
    </x:row>
    <x:row r="53">
      <x:c r="A53" s="28" t="n">
        <x:v>51</x:v>
      </x:c>
      <x:c r="B53" s="28" t="str">
        <x:v>Water control</x:v>
      </x:c>
      <x:c r="C53" s="28" t="str">
        <x:v>C2</x:v>
      </x:c>
      <x:c r="D53" s="28" t="str">
        <x:v>Ordinary water</x:v>
      </x:c>
      <x:c r="E53" s="28" t="n">
        <x:v>20</x:v>
      </x:c>
      <x:c r="F53" s="28" t="n">
        <x:v>1</x:v>
      </x:c>
      <x:c r="G53" s="93" t="n">
        <x:v>689</x:v>
      </x:c>
      <x:c r="H53" s="94" t="str">
        <x:v>Formal post-exposure</x:v>
      </x:c>
      <x:c r="I53" s="94"/>
    </x:row>
    <x:row r="54">
      <x:c r="A54" s="28" t="n">
        <x:v>52</x:v>
      </x:c>
      <x:c r="B54" s="28" t="str">
        <x:v>Water control</x:v>
      </x:c>
      <x:c r="C54" s="28" t="str">
        <x:v>C2</x:v>
      </x:c>
      <x:c r="D54" s="28" t="str">
        <x:v>Ordinary water</x:v>
      </x:c>
      <x:c r="E54" s="28" t="n">
        <x:v>20</x:v>
      </x:c>
      <x:c r="F54" s="28" t="n">
        <x:v>2</x:v>
      </x:c>
      <x:c r="G54" s="93" t="n">
        <x:v>698</x:v>
      </x:c>
      <x:c r="H54" s="94" t="str">
        <x:v>Formal post-exposure</x:v>
      </x:c>
      <x:c r="I54" s="94"/>
    </x:row>
    <x:row r="55">
      <x:c r="A55" s="28" t="n">
        <x:v>53</x:v>
      </x:c>
      <x:c r="B55" s="28" t="str">
        <x:v>Water control</x:v>
      </x:c>
      <x:c r="C55" s="28" t="str">
        <x:v>C2</x:v>
      </x:c>
      <x:c r="D55" s="28" t="str">
        <x:v>Ordinary water</x:v>
      </x:c>
      <x:c r="E55" s="28" t="n">
        <x:v>20</x:v>
      </x:c>
      <x:c r="F55" s="28" t="n">
        <x:v>3</x:v>
      </x:c>
      <x:c r="G55" s="93" t="n">
        <x:v>704</x:v>
      </x:c>
      <x:c r="H55" s="94" t="str">
        <x:v>Formal post-exposure</x:v>
      </x:c>
      <x:c r="I55" s="94"/>
    </x:row>
    <x:row r="56">
      <x:c r="A56" s="28" t="n">
        <x:v>54</x:v>
      </x:c>
      <x:c r="B56" s="28" t="str">
        <x:v>Water control</x:v>
      </x:c>
      <x:c r="C56" s="28" t="str">
        <x:v>C2</x:v>
      </x:c>
      <x:c r="D56" s="28" t="str">
        <x:v>Ordinary water</x:v>
      </x:c>
      <x:c r="E56" s="28" t="n">
        <x:v>20</x:v>
      </x:c>
      <x:c r="F56" s="28" t="n">
        <x:v>4</x:v>
      </x:c>
      <x:c r="G56" s="93" t="n">
        <x:v>709</x:v>
      </x:c>
      <x:c r="H56" s="94" t="str">
        <x:v>Formal post-exposure</x:v>
      </x:c>
      <x:c r="I56" s="94"/>
    </x:row>
    <x:row r="57">
      <x:c r="A57" s="28" t="n">
        <x:v>55</x:v>
      </x:c>
      <x:c r="B57" s="28" t="str">
        <x:v>Water control</x:v>
      </x:c>
      <x:c r="C57" s="28" t="str">
        <x:v>C2</x:v>
      </x:c>
      <x:c r="D57" s="28" t="str">
        <x:v>Ordinary water</x:v>
      </x:c>
      <x:c r="E57" s="28" t="n">
        <x:v>20</x:v>
      </x:c>
      <x:c r="F57" s="28" t="n">
        <x:v>5</x:v>
      </x:c>
      <x:c r="G57" s="93" t="n">
        <x:v>716</x:v>
      </x:c>
      <x:c r="H57" s="94" t="str">
        <x:v>Formal post-exposure</x:v>
      </x:c>
      <x:c r="I57" s="94"/>
    </x:row>
    <x:row r="58">
      <x:c r="A58" s="28" t="n">
        <x:v>56</x:v>
      </x:c>
      <x:c r="B58" s="28" t="str">
        <x:v>Water control</x:v>
      </x:c>
      <x:c r="C58" s="28" t="str">
        <x:v>C2</x:v>
      </x:c>
      <x:c r="D58" s="28" t="str">
        <x:v>Ordinary water</x:v>
      </x:c>
      <x:c r="E58" s="28" t="n">
        <x:v>40</x:v>
      </x:c>
      <x:c r="F58" s="28" t="n">
        <x:v>1</x:v>
      </x:c>
      <x:c r="G58" s="93" t="n">
        <x:v>546</x:v>
      </x:c>
      <x:c r="H58" s="94" t="str">
        <x:v>Formal post-exposure</x:v>
      </x:c>
      <x:c r="I58" s="94"/>
    </x:row>
    <x:row r="59">
      <x:c r="A59" s="28" t="n">
        <x:v>57</x:v>
      </x:c>
      <x:c r="B59" s="28" t="str">
        <x:v>Water control</x:v>
      </x:c>
      <x:c r="C59" s="28" t="str">
        <x:v>C2</x:v>
      </x:c>
      <x:c r="D59" s="28" t="str">
        <x:v>Ordinary water</x:v>
      </x:c>
      <x:c r="E59" s="28" t="n">
        <x:v>40</x:v>
      </x:c>
      <x:c r="F59" s="28" t="n">
        <x:v>2</x:v>
      </x:c>
      <x:c r="G59" s="93" t="n">
        <x:v>550</x:v>
      </x:c>
      <x:c r="H59" s="94" t="str">
        <x:v>Formal post-exposure</x:v>
      </x:c>
      <x:c r="I59" s="94"/>
    </x:row>
    <x:row r="60">
      <x:c r="A60" s="28" t="n">
        <x:v>58</x:v>
      </x:c>
      <x:c r="B60" s="28" t="str">
        <x:v>Water control</x:v>
      </x:c>
      <x:c r="C60" s="28" t="str">
        <x:v>C2</x:v>
      </x:c>
      <x:c r="D60" s="28" t="str">
        <x:v>Ordinary water</x:v>
      </x:c>
      <x:c r="E60" s="28" t="n">
        <x:v>40</x:v>
      </x:c>
      <x:c r="F60" s="28" t="n">
        <x:v>3</x:v>
      </x:c>
      <x:c r="G60" s="93" t="n">
        <x:v>553</x:v>
      </x:c>
      <x:c r="H60" s="94" t="str">
        <x:v>Formal post-exposure</x:v>
      </x:c>
      <x:c r="I60" s="94"/>
    </x:row>
    <x:row r="61">
      <x:c r="A61" s="28" t="n">
        <x:v>59</x:v>
      </x:c>
      <x:c r="B61" s="28" t="str">
        <x:v>Water control</x:v>
      </x:c>
      <x:c r="C61" s="28" t="str">
        <x:v>C2</x:v>
      </x:c>
      <x:c r="D61" s="28" t="str">
        <x:v>Ordinary water</x:v>
      </x:c>
      <x:c r="E61" s="28" t="n">
        <x:v>40</x:v>
      </x:c>
      <x:c r="F61" s="28" t="n">
        <x:v>4</x:v>
      </x:c>
      <x:c r="G61" s="93" t="n">
        <x:v>558</x:v>
      </x:c>
      <x:c r="H61" s="94" t="str">
        <x:v>Formal post-exposure</x:v>
      </x:c>
      <x:c r="I61" s="94"/>
    </x:row>
    <x:row r="62">
      <x:c r="A62" s="28" t="n">
        <x:v>60</x:v>
      </x:c>
      <x:c r="B62" s="28" t="str">
        <x:v>Water control</x:v>
      </x:c>
      <x:c r="C62" s="28" t="str">
        <x:v>C2</x:v>
      </x:c>
      <x:c r="D62" s="28" t="str">
        <x:v>Ordinary water</x:v>
      </x:c>
      <x:c r="E62" s="28" t="n">
        <x:v>40</x:v>
      </x:c>
      <x:c r="F62" s="28" t="n">
        <x:v>5</x:v>
      </x:c>
      <x:c r="G62" s="93" t="n">
        <x:v>559</x:v>
      </x:c>
      <x:c r="H62" s="94" t="str">
        <x:v>Formal post-exposure</x:v>
      </x:c>
      <x:c r="I62" s="94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969a5c153ae041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.329999923706055" hidden="0" customWidth="1"/>
    <x:col min="3" max="3" width="21" hidden="0" customWidth="1"/>
    <x:col min="4" max="4" width="1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46" t="str">
        <x:v>Within-Sensor Calibration Drift Analysis</x:v>
      </x:c>
      <x:c r="B1" s="46"/>
      <x:c r="C1" s="46"/>
      <x:c r="D1" s="46"/>
      <x:c r="E1" s="46"/>
      <x:c r="F1" s="46"/>
      <x:c r="G1" s="46"/>
      <x:c r="H1" s="46"/>
      <x:c r="I1" s="46"/>
      <x:c r="J1" s="46"/>
    </x:row>
    <x:row r="2" ht="34" customHeight="1">
      <x:c r="A2" s="8" t="str">
        <x:v>Group</x:v>
      </x:c>
      <x:c r="B2" s="9" t="str">
        <x:v>Sensor ID</x:v>
      </x:c>
      <x:c r="C2" s="9" t="str">
        <x:v>Exposure liquid</x:v>
      </x:c>
      <x:c r="D2" s="9" t="str">
        <x:v>Water added (g)</x:v>
      </x:c>
      <x:c r="E2" s="9" t="str">
        <x:v>Baseline mean ADC</x:v>
      </x:c>
      <x:c r="F2" s="9" t="str">
        <x:v>Post mean ADC</x:v>
      </x:c>
      <x:c r="G2" s="9" t="str">
        <x:v>Drift (post − baseline)</x:v>
      </x:c>
      <x:c r="H2" s="9" t="str">
        <x:v>Absolute drift</x:v>
      </x:c>
      <x:c r="I2" s="9" t="str">
        <x:v>Baseline SD</x:v>
      </x:c>
      <x:c r="J2" s="10" t="str">
        <x:v>Post SD</x:v>
      </x:c>
    </x:row>
    <x:row r="3">
      <x:c r="A3" s="29" t="str">
        <x:v>Saline exposure</x:v>
      </x:c>
      <x:c r="B3" s="29" t="str">
        <x:v>S1</x:v>
      </x:c>
      <x:c r="C3" s="29" t="str">
        <x:v>3.5% NaCl solution</x:v>
      </x:c>
      <x:c r="D3" s="28" t="n">
        <x:v>0</x:v>
      </x:c>
      <x:c r="E3" s="31" t="n">
        <x:f>'Baseline Summary'!F3</x:f>
        <x:v>3922.4</x:v>
      </x:c>
      <x:c r="F3" s="43" t="n">
        <x:f>AVERAGE('Post-Exposure Raw'!G3:G7)</x:f>
        <x:v>3757.8</x:v>
      </x:c>
      <x:c r="G3" s="43" t="n">
        <x:f>F3-E3</x:f>
        <x:v>-164.5999999999999</x:v>
      </x:c>
      <x:c r="H3" s="43" t="n">
        <x:f>ABS(G3)</x:f>
        <x:v>164.5999999999999</x:v>
      </x:c>
      <x:c r="I3" s="31" t="n">
        <x:f>'Baseline Summary'!G3</x:f>
        <x:v>2.5099800796022267</x:v>
      </x:c>
      <x:c r="J3" s="31" t="n">
        <x:f>STDEV.S('Post-Exposure Raw'!G3:G7)</x:f>
        <x:v>1.7888543819998317</x:v>
      </x:c>
    </x:row>
    <x:row r="4">
      <x:c r="A4" s="29" t="str">
        <x:v>Saline exposure</x:v>
      </x:c>
      <x:c r="B4" s="29" t="str">
        <x:v>S1</x:v>
      </x:c>
      <x:c r="C4" s="29" t="str">
        <x:v>3.5% NaCl solution</x:v>
      </x:c>
      <x:c r="D4" s="28" t="n">
        <x:v>20</x:v>
      </x:c>
      <x:c r="E4" s="31" t="n">
        <x:f>'Baseline Summary'!F4</x:f>
        <x:v>1009</x:v>
      </x:c>
      <x:c r="F4" s="43" t="n">
        <x:f>AVERAGE('Post-Exposure Raw'!G8:G12)</x:f>
        <x:v>1043</x:v>
      </x:c>
      <x:c r="G4" s="43" t="n">
        <x:f>F4-E4</x:f>
        <x:v>34</x:v>
      </x:c>
      <x:c r="H4" s="43" t="n">
        <x:f>ABS(G4)</x:f>
        <x:v>34</x:v>
      </x:c>
      <x:c r="I4" s="31" t="n">
        <x:f>'Baseline Summary'!G4</x:f>
        <x:v>2.6457513110645907</x:v>
      </x:c>
      <x:c r="J4" s="31" t="n">
        <x:f>STDEV.S('Post-Exposure Raw'!G8:G12)</x:f>
        <x:v>2.449489742783178</x:v>
      </x:c>
    </x:row>
    <x:row r="5">
      <x:c r="A5" s="29" t="str">
        <x:v>Saline exposure</x:v>
      </x:c>
      <x:c r="B5" s="29" t="str">
        <x:v>S1</x:v>
      </x:c>
      <x:c r="C5" s="29" t="str">
        <x:v>3.5% NaCl solution</x:v>
      </x:c>
      <x:c r="D5" s="28" t="n">
        <x:v>40</x:v>
      </x:c>
      <x:c r="E5" s="31" t="n">
        <x:f>'Baseline Summary'!F5</x:f>
        <x:v>658.2</x:v>
      </x:c>
      <x:c r="F5" s="43" t="n">
        <x:f>AVERAGE('Post-Exposure Raw'!G13:G17)</x:f>
        <x:v>625</x:v>
      </x:c>
      <x:c r="G5" s="43" t="n">
        <x:f>F5-E5</x:f>
        <x:v>-33.200000000000045</x:v>
      </x:c>
      <x:c r="H5" s="43" t="n">
        <x:f>ABS(G5)</x:f>
        <x:v>33.200000000000045</x:v>
      </x:c>
      <x:c r="I5" s="31" t="n">
        <x:f>'Baseline Summary'!G5</x:f>
        <x:v>2.588435821108957</x:v>
      </x:c>
      <x:c r="J5" s="31" t="n">
        <x:f>STDEV.S('Post-Exposure Raw'!G13:G17)</x:f>
        <x:v>1.4142135623730951</x:v>
      </x:c>
    </x:row>
    <x:row r="6">
      <x:c r="A6" s="29" t="str">
        <x:v>Saline exposure</x:v>
      </x:c>
      <x:c r="B6" s="29" t="str">
        <x:v>S2</x:v>
      </x:c>
      <x:c r="C6" s="29" t="str">
        <x:v>3.5% NaCl solution</x:v>
      </x:c>
      <x:c r="D6" s="28" t="n">
        <x:v>0</x:v>
      </x:c>
      <x:c r="E6" s="31" t="n">
        <x:f>'Baseline Summary'!F6</x:f>
        <x:v>4095</x:v>
      </x:c>
      <x:c r="F6" s="43" t="n">
        <x:f>AVERAGE('Post-Exposure Raw'!G18:G22)</x:f>
        <x:v>4080.8</x:v>
      </x:c>
      <x:c r="G6" s="43" t="n">
        <x:f>F6-E6</x:f>
        <x:v>-14.199999999999818</x:v>
      </x:c>
      <x:c r="H6" s="43" t="n">
        <x:f>ABS(G6)</x:f>
        <x:v>14.199999999999818</x:v>
      </x:c>
      <x:c r="I6" s="31" t="n">
        <x:f>'Baseline Summary'!G6</x:f>
        <x:v>0</x:v>
      </x:c>
      <x:c r="J6" s="31" t="n">
        <x:f>STDEV.S('Post-Exposure Raw'!G18:G22)</x:f>
        <x:v>2.16794833886788</x:v>
      </x:c>
    </x:row>
    <x:row r="7">
      <x:c r="A7" s="29" t="str">
        <x:v>Saline exposure</x:v>
      </x:c>
      <x:c r="B7" s="29" t="str">
        <x:v>S2</x:v>
      </x:c>
      <x:c r="C7" s="29" t="str">
        <x:v>3.5% NaCl solution</x:v>
      </x:c>
      <x:c r="D7" s="28" t="n">
        <x:v>20</x:v>
      </x:c>
      <x:c r="E7" s="31" t="n">
        <x:f>'Baseline Summary'!F7</x:f>
        <x:v>1125.4</x:v>
      </x:c>
      <x:c r="F7" s="43" t="n">
        <x:f>AVERAGE('Post-Exposure Raw'!G23:G27)</x:f>
        <x:v>811.4</x:v>
      </x:c>
      <x:c r="G7" s="43" t="n">
        <x:f>F7-E7</x:f>
        <x:v>-314.0000000000001</x:v>
      </x:c>
      <x:c r="H7" s="43" t="n">
        <x:f>ABS(G7)</x:f>
        <x:v>314.0000000000001</x:v>
      </x:c>
      <x:c r="I7" s="31" t="n">
        <x:f>'Baseline Summary'!G7</x:f>
        <x:v>7.3006848993775915</x:v>
      </x:c>
      <x:c r="J7" s="31" t="n">
        <x:f>STDEV.S('Post-Exposure Raw'!G23:G27)</x:f>
        <x:v>2.073644135332772</x:v>
      </x:c>
    </x:row>
    <x:row r="8">
      <x:c r="A8" s="29" t="str">
        <x:v>Saline exposure</x:v>
      </x:c>
      <x:c r="B8" s="29" t="str">
        <x:v>S2</x:v>
      </x:c>
      <x:c r="C8" s="29" t="str">
        <x:v>3.5% NaCl solution</x:v>
      </x:c>
      <x:c r="D8" s="28" t="n">
        <x:v>40</x:v>
      </x:c>
      <x:c r="E8" s="31" t="n">
        <x:f>'Baseline Summary'!F8</x:f>
        <x:v>848.6</x:v>
      </x:c>
      <x:c r="F8" s="43" t="n">
        <x:f>AVERAGE('Post-Exposure Raw'!G28:G32)</x:f>
        <x:v>570.4</x:v>
      </x:c>
      <x:c r="G8" s="43" t="n">
        <x:f>F8-E8</x:f>
        <x:v>-278.20000000000005</x:v>
      </x:c>
      <x:c r="H8" s="43" t="n">
        <x:f>ABS(G8)</x:f>
        <x:v>278.20000000000005</x:v>
      </x:c>
      <x:c r="I8" s="31" t="n">
        <x:f>'Baseline Summary'!G8</x:f>
        <x:v>1.5165750888103102</x:v>
      </x:c>
      <x:c r="J8" s="31" t="n">
        <x:f>STDEV.S('Post-Exposure Raw'!G28:G32)</x:f>
        <x:v>3.361547262794322</x:v>
      </x:c>
    </x:row>
    <x:row r="9">
      <x:c r="A9" s="29" t="str">
        <x:v>Water control</x:v>
      </x:c>
      <x:c r="B9" s="29" t="str">
        <x:v>C1</x:v>
      </x:c>
      <x:c r="C9" s="29" t="str">
        <x:v>Ordinary water</x:v>
      </x:c>
      <x:c r="D9" s="28" t="n">
        <x:v>0</x:v>
      </x:c>
      <x:c r="E9" s="31" t="n">
        <x:f>'Baseline Summary'!F9</x:f>
        <x:v>4095</x:v>
      </x:c>
      <x:c r="F9" s="43" t="n">
        <x:f>AVERAGE('Post-Exposure Raw'!G33:G37)</x:f>
        <x:v>4095</x:v>
      </x:c>
      <x:c r="G9" s="43" t="n">
        <x:f>F9-E9</x:f>
        <x:v>0</x:v>
      </x:c>
      <x:c r="H9" s="43" t="n">
        <x:f>ABS(G9)</x:f>
        <x:v>0</x:v>
      </x:c>
      <x:c r="I9" s="31" t="n">
        <x:f>'Baseline Summary'!G9</x:f>
        <x:v>0</x:v>
      </x:c>
      <x:c r="J9" s="31" t="n">
        <x:f>STDEV.S('Post-Exposure Raw'!G33:G37)</x:f>
        <x:v>0</x:v>
      </x:c>
    </x:row>
    <x:row r="10">
      <x:c r="A10" s="29" t="str">
        <x:v>Water control</x:v>
      </x:c>
      <x:c r="B10" s="29" t="str">
        <x:v>C1</x:v>
      </x:c>
      <x:c r="C10" s="29" t="str">
        <x:v>Ordinary water</x:v>
      </x:c>
      <x:c r="D10" s="28" t="n">
        <x:v>20</x:v>
      </x:c>
      <x:c r="E10" s="31" t="n">
        <x:f>'Baseline Summary'!F10</x:f>
        <x:v>1176.2</x:v>
      </x:c>
      <x:c r="F10" s="43" t="n">
        <x:f>AVERAGE('Post-Exposure Raw'!G38:G42)</x:f>
        <x:v>997.8</x:v>
      </x:c>
      <x:c r="G10" s="43" t="n">
        <x:f>F10-E10</x:f>
        <x:v>-178.4000000000001</x:v>
      </x:c>
      <x:c r="H10" s="43" t="n">
        <x:f>ABS(G10)</x:f>
        <x:v>178.4000000000001</x:v>
      </x:c>
      <x:c r="I10" s="31" t="n">
        <x:f>'Baseline Summary'!G10</x:f>
        <x:v>10.03493896344168</x:v>
      </x:c>
      <x:c r="J10" s="31" t="n">
        <x:f>STDEV.S('Post-Exposure Raw'!G38:G42)</x:f>
        <x:v>7.463243262818116</x:v>
      </x:c>
    </x:row>
    <x:row r="11">
      <x:c r="A11" s="29" t="str">
        <x:v>Water control</x:v>
      </x:c>
      <x:c r="B11" s="29" t="str">
        <x:v>C1</x:v>
      </x:c>
      <x:c r="C11" s="29" t="str">
        <x:v>Ordinary water</x:v>
      </x:c>
      <x:c r="D11" s="28" t="n">
        <x:v>40</x:v>
      </x:c>
      <x:c r="E11" s="31" t="n">
        <x:f>'Baseline Summary'!F11</x:f>
        <x:v>698.8</x:v>
      </x:c>
      <x:c r="F11" s="43" t="n">
        <x:f>AVERAGE('Post-Exposure Raw'!G43:G47)</x:f>
        <x:v>684</x:v>
      </x:c>
      <x:c r="G11" s="43" t="n">
        <x:f>F11-E11</x:f>
        <x:v>-14.799999999999955</x:v>
      </x:c>
      <x:c r="H11" s="43" t="n">
        <x:f>ABS(G11)</x:f>
        <x:v>14.799999999999955</x:v>
      </x:c>
      <x:c r="I11" s="31" t="n">
        <x:f>'Baseline Summary'!G11</x:f>
        <x:v>1.9235384061671346</x:v>
      </x:c>
      <x:c r="J11" s="31" t="n">
        <x:f>STDEV.S('Post-Exposure Raw'!G43:G47)</x:f>
        <x:v>6.324555320336759</x:v>
      </x:c>
    </x:row>
    <x:row r="12">
      <x:c r="A12" s="29" t="str">
        <x:v>Water control</x:v>
      </x:c>
      <x:c r="B12" s="29" t="str">
        <x:v>C2</x:v>
      </x:c>
      <x:c r="C12" s="29" t="str">
        <x:v>Ordinary water</x:v>
      </x:c>
      <x:c r="D12" s="28" t="n">
        <x:v>0</x:v>
      </x:c>
      <x:c r="E12" s="31" t="n">
        <x:f>'Baseline Summary'!F12</x:f>
        <x:v>4095</x:v>
      </x:c>
      <x:c r="F12" s="43" t="n">
        <x:f>AVERAGE('Post-Exposure Raw'!G48:G52)</x:f>
        <x:v>4095</x:v>
      </x:c>
      <x:c r="G12" s="43" t="n">
        <x:f>F12-E12</x:f>
        <x:v>0</x:v>
      </x:c>
      <x:c r="H12" s="43" t="n">
        <x:f>ABS(G12)</x:f>
        <x:v>0</x:v>
      </x:c>
      <x:c r="I12" s="31" t="n">
        <x:f>'Baseline Summary'!G12</x:f>
        <x:v>0</x:v>
      </x:c>
      <x:c r="J12" s="31" t="n">
        <x:f>STDEV.S('Post-Exposure Raw'!G48:G52)</x:f>
        <x:v>0</x:v>
      </x:c>
    </x:row>
    <x:row r="13">
      <x:c r="A13" s="29" t="str">
        <x:v>Water control</x:v>
      </x:c>
      <x:c r="B13" s="29" t="str">
        <x:v>C2</x:v>
      </x:c>
      <x:c r="C13" s="29" t="str">
        <x:v>Ordinary water</x:v>
      </x:c>
      <x:c r="D13" s="28" t="n">
        <x:v>20</x:v>
      </x:c>
      <x:c r="E13" s="31" t="n">
        <x:f>'Baseline Summary'!F13</x:f>
        <x:v>1006.4</x:v>
      </x:c>
      <x:c r="F13" s="43" t="n">
        <x:f>AVERAGE('Post-Exposure Raw'!G53:G57)</x:f>
        <x:v>703.2</x:v>
      </x:c>
      <x:c r="G13" s="43" t="n">
        <x:f>F13-E13</x:f>
        <x:v>-303.19999999999993</x:v>
      </x:c>
      <x:c r="H13" s="43" t="n">
        <x:f>ABS(G13)</x:f>
        <x:v>303.19999999999993</x:v>
      </x:c>
      <x:c r="I13" s="31" t="n">
        <x:f>'Baseline Summary'!G13</x:f>
        <x:v>0.5477225575051662</x:v>
      </x:c>
      <x:c r="J13" s="31" t="n">
        <x:f>STDEV.S('Post-Exposure Raw'!G53:G57)</x:f>
        <x:v>10.329569206893384</x:v>
      </x:c>
    </x:row>
    <x:row r="14">
      <x:c r="A14" s="29" t="str">
        <x:v>Water control</x:v>
      </x:c>
      <x:c r="B14" s="29" t="str">
        <x:v>C2</x:v>
      </x:c>
      <x:c r="C14" s="29" t="str">
        <x:v>Ordinary water</x:v>
      </x:c>
      <x:c r="D14" s="28" t="n">
        <x:v>40</x:v>
      </x:c>
      <x:c r="E14" s="31" t="n">
        <x:f>'Baseline Summary'!F14</x:f>
        <x:v>718.6</x:v>
      </x:c>
      <x:c r="F14" s="43" t="n">
        <x:f>AVERAGE('Post-Exposure Raw'!G58:G62)</x:f>
        <x:v>553.2</x:v>
      </x:c>
      <x:c r="G14" s="43" t="n">
        <x:f>F14-E14</x:f>
        <x:v>-165.39999999999998</x:v>
      </x:c>
      <x:c r="H14" s="43" t="n">
        <x:f>ABS(G14)</x:f>
        <x:v>165.39999999999998</x:v>
      </x:c>
      <x:c r="I14" s="31" t="n">
        <x:f>'Baseline Summary'!G14</x:f>
        <x:v>1.140175425099138</x:v>
      </x:c>
      <x:c r="J14" s="31" t="n">
        <x:f>STDEV.S('Post-Exposure Raw'!G58:G62)</x:f>
        <x:v>5.449770637375485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7fb561a5003a42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.560001373291016" hidden="0" customWidth="1"/>
    <x:col min="2" max="2" width="10.329999923706055" hidden="0" customWidth="1"/>
    <x:col min="3" max="3" width="34" hidden="0" customWidth="1"/>
    <x:col min="4" max="4" width="10.5600004196167" hidden="0" customWidth="1"/>
    <x:col min="5" max="5" width="10.5600004196167" hidden="0" customWidth="1"/>
    <x:col min="6" max="6" width="10.5600004196167" hidden="0" customWidth="1"/>
    <x:col min="7" max="7" width="10.5600004196167" hidden="0" customWidth="1"/>
    <x:col min="8" max="8" width="40" hidden="0" customWidth="1"/>
  </x:cols>
  <x:sheetData>
    <x:row r="1" ht="30" customHeight="1">
      <x:c r="A1" s="46" t="str">
        <x:v>Preliminary and Excluded Checks</x:v>
      </x:c>
      <x:c r="B1" s="46"/>
      <x:c r="C1" s="46"/>
      <x:c r="D1" s="46"/>
      <x:c r="E1" s="46"/>
      <x:c r="F1" s="46"/>
      <x:c r="G1" s="46"/>
      <x:c r="H1" s="46"/>
    </x:row>
    <x:row r="2" ht="34" customHeight="1">
      <x:c r="A2" s="8" t="str">
        <x:v>Sensor ID</x:v>
      </x:c>
      <x:c r="B2" s="9" t="str">
        <x:v>Condition</x:v>
      </x:c>
      <x:c r="C2" s="9" t="str">
        <x:v>Check description</x:v>
      </x:c>
      <x:c r="D2" s="9" t="str">
        <x:v>Reading 1</x:v>
      </x:c>
      <x:c r="E2" s="9" t="str">
        <x:v>Reading 2</x:v>
      </x:c>
      <x:c r="F2" s="9" t="str">
        <x:v>Reading 3</x:v>
      </x:c>
      <x:c r="G2" s="9" t="str">
        <x:v>Reading 4</x:v>
      </x:c>
      <x:c r="H2" s="10" t="str">
        <x:v>Reading 5 / notes</x:v>
      </x:c>
    </x:row>
    <x:row r="3">
      <x:c r="A3" s="45" t="str">
        <x:v>C2</x:v>
      </x:c>
      <x:c r="B3" s="45" t="str">
        <x:v>20 g</x:v>
      </x:c>
      <x:c r="C3" s="45" t="str">
        <x:v>Different position in same cup</x:v>
      </x:c>
      <x:c r="D3" s="45" t="n">
        <x:v>1808</x:v>
      </x:c>
      <x:c r="E3" s="45" t="n">
        <x:v>1809</x:v>
      </x:c>
      <x:c r="F3" s="45" t="n">
        <x:v>1807</x:v>
      </x:c>
      <x:c r="G3" s="45" t="n">
        <x:v>1806</x:v>
      </x:c>
      <x:c r="H3" s="45" t="str">
        <x:v>1806 — excluded: spatial variation</x:v>
      </x:c>
    </x:row>
    <x:row r="4">
      <x:c r="A4" s="45" t="str">
        <x:v>C2</x:v>
      </x:c>
      <x:c r="B4" s="45" t="str">
        <x:v>20 g</x:v>
      </x:c>
      <x:c r="C4" s="45" t="str">
        <x:v>Second position in same cup</x:v>
      </x:c>
      <x:c r="D4" s="45" t="n">
        <x:v>1471</x:v>
      </x:c>
      <x:c r="E4" s="45" t="n">
        <x:v>1470</x:v>
      </x:c>
      <x:c r="F4" s="45" t="n">
        <x:v>1473</x:v>
      </x:c>
      <x:c r="G4" s="45" t="n">
        <x:v>1472</x:v>
      </x:c>
      <x:c r="H4" s="45" t="str">
        <x:v>1473 — excluded: spatial variation</x:v>
      </x:c>
    </x:row>
    <x:row r="5">
      <x:c r="A5" s="45" t="str">
        <x:v>C2</x:v>
      </x:c>
      <x:c r="B5" s="45" t="str">
        <x:v>20 g</x:v>
      </x:c>
      <x:c r="C5" s="45" t="str">
        <x:v>Probe not fully cleaned after wetter soil</x:v>
      </x:c>
      <x:c r="D5" s="45" t="n">
        <x:v>859</x:v>
      </x:c>
      <x:c r="E5" s="45" t="n">
        <x:v>865</x:v>
      </x:c>
      <x:c r="F5" s="45" t="n">
        <x:v>862</x:v>
      </x:c>
      <x:c r="G5" s="45" t="n">
        <x:v>868</x:v>
      </x:c>
      <x:c r="H5" s="45" t="str">
        <x:v>871 — excluded: suspected carryover</x:v>
      </x:c>
    </x:row>
    <x:row r="6">
      <x:c r="A6" s="45" t="str">
        <x:v>C2</x:v>
      </x:c>
      <x:c r="B6" s="45" t="str">
        <x:v>40 g</x:v>
      </x:c>
      <x:c r="C6" s="45" t="str">
        <x:v>Earlier non-standardized check</x:v>
      </x:c>
      <x:c r="D6" s="45" t="n">
        <x:v>1137</x:v>
      </x:c>
      <x:c r="E6" s="45" t="n">
        <x:v>1135</x:v>
      </x:c>
      <x:c r="F6" s="45" t="n">
        <x:v>1135</x:v>
      </x:c>
      <x:c r="G6" s="45" t="n">
        <x:v>1133</x:v>
      </x:c>
      <x:c r="H6" s="45" t="str">
        <x:v>1132, 1130 — excluded; six readings recorded</x:v>
      </x:c>
    </x:row>
    <x:row r="7">
      <x:c r="A7" s="45" t="str">
        <x:v>S1</x:v>
      </x:c>
      <x:c r="B7" s="45" t="str">
        <x:v>0 g</x:v>
      </x:c>
      <x:c r="C7" s="45" t="str">
        <x:v>Repeated after wet-soil measurements</x:v>
      </x:c>
      <x:c r="D7" s="45" t="n">
        <x:v>3963</x:v>
      </x:c>
      <x:c r="E7" s="45" t="n">
        <x:v>3963</x:v>
      </x:c>
      <x:c r="F7" s="45" t="n">
        <x:v>3964</x:v>
      </x:c>
      <x:c r="G7" s="45" t="n">
        <x:v>3961</x:v>
      </x:c>
      <x:c r="H7" s="45" t="str">
        <x:v>3960 — excluded: order/carryover risk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a3eb001bef44c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4" customHeight="1">
      <x:c r="A1" s="92" t="str">
        <x:v>120-Hour Saline-Exposure Pilot Study — Results</x:v>
      </x:c>
      <x:c r="B1" s="92"/>
      <x:c r="C1" s="92"/>
      <x:c r="D1" s="92"/>
      <x:c r="E1" s="92"/>
      <x:c r="F1" s="92"/>
      <x:c r="G1" s="92"/>
      <x:c r="H1" s="92"/>
      <x:c r="I1" s="92"/>
      <x:c r="J1" s="92"/>
    </x:row>
    <x:row r="2">
      <x:c r="A2" s="47"/>
      <x:c r="B2" s="47"/>
      <x:c r="C2" s="47"/>
      <x:c r="D2" s="47"/>
      <x:c r="E2" s="47"/>
      <x:c r="F2" s="47"/>
      <x:c r="G2" s="47"/>
      <x:c r="H2" s="47"/>
      <x:c r="I2" s="47"/>
      <x:c r="J2" s="47"/>
    </x:row>
    <x:row r="3">
      <x:c r="A3" s="65" t="str">
        <x:v>Main finding: ADC shifts occurred in both saline-exposed and water-control sensors. The group contrast reversed between the 20 g and 40 g test conditions, so this n=2-per-group pilot did not show a consistent additional saline-specific drift after 120 hours.</x:v>
      </x:c>
      <x:c r="B3" s="66"/>
      <x:c r="C3" s="66"/>
      <x:c r="D3" s="66"/>
      <x:c r="E3" s="66"/>
      <x:c r="F3" s="66"/>
      <x:c r="G3" s="66"/>
      <x:c r="H3" s="66"/>
      <x:c r="I3" s="66"/>
      <x:c r="J3" s="67"/>
    </x:row>
    <x:row r="4">
      <x:c r="A4" s="68"/>
      <x:c r="B4" s="69"/>
      <x:c r="C4" s="69"/>
      <x:c r="D4" s="69"/>
      <x:c r="E4" s="69"/>
      <x:c r="F4" s="69"/>
      <x:c r="G4" s="69"/>
      <x:c r="H4" s="69"/>
      <x:c r="I4" s="69"/>
      <x:c r="J4" s="70"/>
    </x:row>
    <x:row r="5">
      <x:c r="A5" s="47"/>
      <x:c r="B5" s="47"/>
      <x:c r="C5" s="47"/>
      <x:c r="D5" s="47"/>
      <x:c r="E5" s="47"/>
      <x:c r="F5" s="47"/>
      <x:c r="G5" s="47"/>
      <x:c r="H5" s="47"/>
      <x:c r="I5" s="47"/>
      <x:c r="J5" s="47"/>
    </x:row>
    <x:row r="6">
      <x:c r="A6" s="72" t="str">
        <x:v>Within-sensor mean ADC drift (post − baseline)</x:v>
      </x:c>
      <x:c r="B6" s="72"/>
      <x:c r="C6" s="72"/>
      <x:c r="D6" s="72"/>
      <x:c r="E6" s="72"/>
      <x:c r="F6" s="72"/>
      <x:c r="G6" s="47"/>
      <x:c r="H6" s="47"/>
      <x:c r="I6" s="47"/>
      <x:c r="J6" s="47"/>
    </x:row>
    <x:row r="7">
      <x:c r="A7" s="74" t="str">
        <x:v>Sensor</x:v>
      </x:c>
      <x:c r="B7" s="74" t="str">
        <x:v>Group</x:v>
      </x:c>
      <x:c r="C7" s="74" t="str">
        <x:v>20 g baseline</x:v>
      </x:c>
      <x:c r="D7" s="74" t="str">
        <x:v>20 g post</x:v>
      </x:c>
      <x:c r="E7" s="74" t="str">
        <x:v>20 g drift</x:v>
      </x:c>
      <x:c r="F7" s="74" t="str">
        <x:v>40 g drift</x:v>
      </x:c>
      <x:c r="G7" s="47"/>
      <x:c r="H7" s="47"/>
      <x:c r="I7" s="47"/>
      <x:c r="J7" s="47"/>
    </x:row>
    <x:row r="8">
      <x:c r="A8" s="75" t="str">
        <x:v>S1</x:v>
      </x:c>
      <x:c r="B8" s="76" t="str">
        <x:v>Saline exposure</x:v>
      </x:c>
      <x:c r="C8" s="84" t="n">
        <x:f>'Drift Analysis'!E4</x:f>
        <x:v>1009</x:v>
      </x:c>
      <x:c r="D8" s="84" t="n">
        <x:f>'Drift Analysis'!F4</x:f>
        <x:v>1043</x:v>
      </x:c>
      <x:c r="E8" s="84" t="n">
        <x:f>'Drift Analysis'!G4</x:f>
        <x:v>34</x:v>
      </x:c>
      <x:c r="F8" s="85" t="n">
        <x:f>'Drift Analysis'!G5</x:f>
        <x:v>-33.200000000000045</x:v>
      </x:c>
      <x:c r="G8" s="47"/>
      <x:c r="H8" s="47"/>
      <x:c r="I8" s="47"/>
      <x:c r="J8" s="47"/>
    </x:row>
    <x:row r="9">
      <x:c r="A9" s="78" t="str">
        <x:v>S2</x:v>
      </x:c>
      <x:c r="B9" s="79" t="str">
        <x:v>Saline exposure</x:v>
      </x:c>
      <x:c r="C9" s="86" t="n">
        <x:f>'Drift Analysis'!E7</x:f>
        <x:v>1125.4</x:v>
      </x:c>
      <x:c r="D9" s="86" t="n">
        <x:f>'Drift Analysis'!F7</x:f>
        <x:v>811.4</x:v>
      </x:c>
      <x:c r="E9" s="86" t="n">
        <x:f>'Drift Analysis'!G7</x:f>
        <x:v>-314.0000000000001</x:v>
      </x:c>
      <x:c r="F9" s="87" t="n">
        <x:f>'Drift Analysis'!G8</x:f>
        <x:v>-278.20000000000005</x:v>
      </x:c>
      <x:c r="G9" s="47"/>
      <x:c r="H9" s="47"/>
      <x:c r="I9" s="47"/>
      <x:c r="J9" s="47"/>
    </x:row>
    <x:row r="10">
      <x:c r="A10" s="78" t="str">
        <x:v>C1</x:v>
      </x:c>
      <x:c r="B10" s="79" t="str">
        <x:v>Water control</x:v>
      </x:c>
      <x:c r="C10" s="86" t="n">
        <x:f>'Drift Analysis'!E10</x:f>
        <x:v>1176.2</x:v>
      </x:c>
      <x:c r="D10" s="86" t="n">
        <x:f>'Drift Analysis'!F10</x:f>
        <x:v>997.8</x:v>
      </x:c>
      <x:c r="E10" s="86" t="n">
        <x:f>'Drift Analysis'!G10</x:f>
        <x:v>-178.4000000000001</x:v>
      </x:c>
      <x:c r="F10" s="87" t="n">
        <x:f>'Drift Analysis'!G11</x:f>
        <x:v>-14.799999999999955</x:v>
      </x:c>
      <x:c r="G10" s="47"/>
      <x:c r="H10" s="47"/>
      <x:c r="I10" s="47"/>
      <x:c r="J10" s="47"/>
    </x:row>
    <x:row r="11">
      <x:c r="A11" s="81" t="str">
        <x:v>C2</x:v>
      </x:c>
      <x:c r="B11" s="82" t="str">
        <x:v>Water control</x:v>
      </x:c>
      <x:c r="C11" s="88" t="n">
        <x:f>'Drift Analysis'!E13</x:f>
        <x:v>1006.4</x:v>
      </x:c>
      <x:c r="D11" s="88" t="n">
        <x:f>'Drift Analysis'!F13</x:f>
        <x:v>703.2</x:v>
      </x:c>
      <x:c r="E11" s="88" t="n">
        <x:f>'Drift Analysis'!G13</x:f>
        <x:v>-303.19999999999993</x:v>
      </x:c>
      <x:c r="F11" s="89" t="n">
        <x:f>'Drift Analysis'!G14</x:f>
        <x:v>-165.39999999999998</x:v>
      </x:c>
      <x:c r="G11" s="47"/>
      <x:c r="H11" s="47"/>
      <x:c r="I11" s="47"/>
      <x:c r="J11" s="47"/>
    </x:row>
    <x:row r="12">
      <x:c r="A12" s="47"/>
      <x:c r="B12" s="47"/>
      <x:c r="C12" s="47"/>
      <x:c r="D12" s="47"/>
      <x:c r="E12" s="47"/>
      <x:c r="F12" s="47"/>
      <x:c r="G12" s="47"/>
      <x:c r="H12" s="47"/>
      <x:c r="I12" s="47"/>
      <x:c r="J12" s="47"/>
    </x:row>
    <x:row r="13">
      <x:c r="A13" s="47"/>
      <x:c r="B13" s="47"/>
      <x:c r="C13" s="47"/>
      <x:c r="D13" s="47"/>
      <x:c r="E13" s="47"/>
      <x:c r="F13" s="47"/>
      <x:c r="G13" s="47"/>
      <x:c r="H13" s="47"/>
      <x:c r="I13" s="47"/>
      <x:c r="J13" s="47"/>
    </x:row>
    <x:row r="14">
      <x:c r="A14" s="72" t="str">
        <x:v>Group-level descriptive comparison</x:v>
      </x:c>
      <x:c r="B14" s="72"/>
      <x:c r="C14" s="72"/>
      <x:c r="D14" s="72"/>
      <x:c r="E14" s="72"/>
      <x:c r="F14" s="47"/>
      <x:c r="G14" s="47"/>
      <x:c r="H14" s="47"/>
      <x:c r="I14" s="47"/>
      <x:c r="J14" s="47"/>
    </x:row>
    <x:row r="15">
      <x:c r="A15" s="74" t="str">
        <x:v>Water added (g)</x:v>
      </x:c>
      <x:c r="B15" s="74" t="str">
        <x:v>Saline mean drift</x:v>
      </x:c>
      <x:c r="C15" s="74" t="str">
        <x:v>Control mean drift</x:v>
      </x:c>
      <x:c r="D15" s="74" t="str">
        <x:v>Saline − control</x:v>
      </x:c>
      <x:c r="E15" s="74" t="str">
        <x:v>Interpretation</x:v>
      </x:c>
      <x:c r="F15" s="47"/>
      <x:c r="G15" s="47"/>
      <x:c r="H15" s="47"/>
      <x:c r="I15" s="47"/>
      <x:c r="J15" s="47"/>
    </x:row>
    <x:row r="16">
      <x:c r="A16" s="75" t="n">
        <x:v>20</x:v>
      </x:c>
      <x:c r="B16" s="84" t="n">
        <x:f>AVERAGE(E8:E9)</x:f>
        <x:v>-140.00000000000006</x:v>
      </x:c>
      <x:c r="C16" s="84" t="n">
        <x:f>AVERAGE(E10:E11)</x:f>
        <x:v>-240.8</x:v>
      </x:c>
      <x:c r="D16" s="84" t="n">
        <x:f>B16-C16</x:f>
        <x:v>100.79999999999995</x:v>
      </x:c>
      <x:c r="E16" s="77" t="str">
        <x:v>Controls shifted more negatively</x:v>
      </x:c>
      <x:c r="F16" s="47"/>
      <x:c r="G16" s="47"/>
      <x:c r="H16" s="47"/>
      <x:c r="I16" s="47"/>
      <x:c r="J16" s="47"/>
    </x:row>
    <x:row r="17">
      <x:c r="A17" s="81" t="n">
        <x:v>40</x:v>
      </x:c>
      <x:c r="B17" s="88" t="n">
        <x:f>AVERAGE(F8:F9)</x:f>
        <x:v>-155.70000000000005</x:v>
      </x:c>
      <x:c r="C17" s="88" t="n">
        <x:f>AVERAGE(F10:F11)</x:f>
        <x:v>-90.09999999999997</x:v>
      </x:c>
      <x:c r="D17" s="88" t="n">
        <x:f>B17-C17</x:f>
        <x:v>-65.60000000000008</x:v>
      </x:c>
      <x:c r="E17" s="83" t="str">
        <x:v>Saline sensors shifted more negatively</x:v>
      </x:c>
      <x:c r="F17" s="47"/>
      <x:c r="G17" s="47"/>
      <x:c r="H17" s="47"/>
      <x:c r="I17" s="47"/>
      <x:c r="J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</x:row>
    <x:row r="19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</x:row>
    <x:row r="20">
      <x:c r="A20" s="72" t="str">
        <x:v>Interpretation and scope</x:v>
      </x:c>
      <x:c r="B20" s="72"/>
      <x:c r="C20" s="72"/>
      <x:c r="D20" s="72"/>
      <x:c r="E20" s="72"/>
      <x:c r="F20" s="72"/>
      <x:c r="G20" s="72"/>
      <x:c r="H20" s="72"/>
      <x:c r="I20" s="72"/>
      <x:c r="J20" s="72"/>
    </x:row>
    <x:row r="21" ht="28" customHeight="1">
      <x:c r="A21" s="91" t="str">
        <x:v>• The 0 g endpoint is descriptive only: S2, C1, and C2 reached the 4095 ADC ceiling at baseline, preventing exact dry-end drift estimates.</x:v>
      </x:c>
      <x:c r="B21" s="91"/>
      <x:c r="C21" s="91"/>
      <x:c r="D21" s="91"/>
      <x:c r="E21" s="91"/>
      <x:c r="F21" s="91"/>
      <x:c r="G21" s="91"/>
      <x:c r="H21" s="91"/>
      <x:c r="I21" s="91"/>
      <x:c r="J21" s="91"/>
    </x:row>
    <x:row r="22" ht="28" customHeight="1">
      <x:c r="A22" s="91" t="str">
        <x:v>• At 20 g, mean drift was −140.0 ADC for the saline group and −240.8 ADC for controls; at 40 g, it was −155.7 and −90.1 ADC, respectively.</x:v>
      </x:c>
      <x:c r="B22" s="91"/>
      <x:c r="C22" s="91"/>
      <x:c r="D22" s="91"/>
      <x:c r="E22" s="91"/>
      <x:c r="F22" s="91"/>
      <x:c r="G22" s="91"/>
      <x:c r="H22" s="91"/>
      <x:c r="I22" s="91"/>
      <x:c r="J22" s="91"/>
    </x:row>
    <x:row r="23" ht="38" customHeight="1">
      <x:c r="A23" s="91" t="str">
        <x:v>• Because the direction of the saline-versus-control contrast reversed across conditions and only two sensors were tested per group, the evidence is descriptive pilot evidence rather than a generalizable treatment effect.</x:v>
      </x:c>
      <x:c r="B23" s="91"/>
      <x:c r="C23" s="91"/>
      <x:c r="D23" s="91"/>
      <x:c r="E23" s="91"/>
      <x:c r="F23" s="91"/>
      <x:c r="G23" s="91"/>
      <x:c r="H23" s="91"/>
      <x:c r="I23" s="91"/>
      <x:c r="J23" s="91"/>
    </x:row>
    <x:row r="24" ht="28" customHeight="1">
      <x:c r="A24" s="91" t="str">
        <x:v>• No obvious macroscopic change in liquid clarity, deposits, or electrode appearance was observed at the 120-hour endpoint.</x:v>
      </x:c>
      <x:c r="B24" s="91"/>
      <x:c r="C24" s="91"/>
      <x:c r="D24" s="91"/>
      <x:c r="E24" s="91"/>
      <x:c r="F24" s="91"/>
      <x:c r="G24" s="91"/>
      <x:c r="H24" s="91"/>
      <x:c r="I24" s="91"/>
      <x:c r="J24" s="91"/>
    </x:row>
    <x:row r="25" ht="28" customHeight="1">
      <x:c r="A25" s="91" t="str">
        <x:v>• Endpoint workflow: all probes were rinsed and sun-dried for about 1 hour; sensor order was C1 → S1 → S2 → C2, with 0 → 20 → 40 g within each sensor.</x:v>
      </x:c>
      <x:c r="B25" s="91"/>
      <x:c r="C25" s="91"/>
      <x:c r="D25" s="91"/>
      <x:c r="E25" s="91"/>
      <x:c r="F25" s="91"/>
      <x:c r="G25" s="91"/>
      <x:c r="H25" s="91"/>
      <x:c r="I25" s="91"/>
      <x:c r="J25" s="91"/>
    </x:row>
  </x:sheetData>
  <x:mergeCells>
    <x:mergeCell ref="A1:J1"/>
    <x:mergeCell ref="A3:J4"/>
    <x:mergeCell ref="A6:F6"/>
    <x:mergeCell ref="A14:E14"/>
    <x:mergeCell ref="A20:J20"/>
    <x:mergeCell ref="A21:J21"/>
    <x:mergeCell ref="A22:J22"/>
    <x:mergeCell ref="A23:J23"/>
    <x:mergeCell ref="A24:J24"/>
    <x:mergeCell ref="A25:J25"/>
  </x:mergeCells>
  <x:conditionalFormatting sqref="A8:F11">
    <x:cfRule type="expression" dxfId="0" priority="1">
      <x:formula>MOD(ROW(),2)=0</x:formula>
    </x:cfRule>
  </x:conditionalFormatting>
  <x:pageMargins left="0.7" right="0.7" top="0.75" bottom="0.75" header="0.3" footer="0.3"/>
  <x:drawing xmlns:r="http://schemas.openxmlformats.org/officeDocument/2006/relationships" r:id="Rb7a75945d18242f5"/>
</x:worksheet>
</file>