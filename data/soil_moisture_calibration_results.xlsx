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/Users/olivia/Downloads/"/>
    </mc:Choice>
  </mc:AlternateContent>
  <xr:revisionPtr revIDLastSave="0" documentId="8_{4762C2D7-E900-7745-812B-DF1CB725C49B}" xr6:coauthVersionLast="47" xr6:coauthVersionMax="47" xr10:uidLastSave="{00000000-0000-0000-0000-000000000000}"/>
  <bookViews>
    <workbookView xWindow="0" yWindow="600" windowWidth="28800" windowHeight="16220" xr2:uid="{00000000-000D-0000-FFFF-FFFF00000000}"/>
  </bookViews>
  <sheets>
    <sheet name="Raw Data" sheetId="1" r:id="rId1"/>
    <sheet name="Sample Summary" sheetId="2" r:id="rId2"/>
    <sheet name="Condition Summary" sheetId="3" r:id="rId3"/>
    <sheet name="Protocol &amp; Note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3" l="1"/>
  <c r="D7" i="3"/>
  <c r="D6" i="3"/>
  <c r="D5" i="3"/>
  <c r="D4" i="3"/>
  <c r="I14" i="2"/>
  <c r="G14" i="2"/>
  <c r="F14" i="2"/>
  <c r="E14" i="2"/>
  <c r="D14" i="2"/>
  <c r="I13" i="2"/>
  <c r="G13" i="2"/>
  <c r="F13" i="2"/>
  <c r="E13" i="2"/>
  <c r="D13" i="2"/>
  <c r="I12" i="2"/>
  <c r="G12" i="2"/>
  <c r="F12" i="2"/>
  <c r="E12" i="2"/>
  <c r="D12" i="2"/>
  <c r="I11" i="2"/>
  <c r="G11" i="2"/>
  <c r="F11" i="2"/>
  <c r="E11" i="2"/>
  <c r="D11" i="2"/>
  <c r="I10" i="2"/>
  <c r="G10" i="2"/>
  <c r="F10" i="2"/>
  <c r="E10" i="2"/>
  <c r="F7" i="3" s="1"/>
  <c r="D10" i="2"/>
  <c r="I9" i="2"/>
  <c r="G9" i="2"/>
  <c r="F9" i="2"/>
  <c r="E9" i="2"/>
  <c r="D9" i="2"/>
  <c r="I8" i="2"/>
  <c r="G8" i="2"/>
  <c r="F8" i="2"/>
  <c r="E8" i="2"/>
  <c r="F5" i="3" s="1"/>
  <c r="D8" i="2"/>
  <c r="I7" i="2"/>
  <c r="G7" i="2"/>
  <c r="H7" i="2" s="1"/>
  <c r="F7" i="2"/>
  <c r="E7" i="2"/>
  <c r="D7" i="2"/>
  <c r="I6" i="2"/>
  <c r="G6" i="2"/>
  <c r="F6" i="2"/>
  <c r="E6" i="2"/>
  <c r="F8" i="3" s="1"/>
  <c r="D6" i="2"/>
  <c r="I5" i="2"/>
  <c r="G5" i="2"/>
  <c r="F5" i="2"/>
  <c r="E5" i="2"/>
  <c r="D5" i="2"/>
  <c r="I4" i="2"/>
  <c r="G4" i="2"/>
  <c r="F4" i="2"/>
  <c r="E4" i="2"/>
  <c r="D4" i="2"/>
  <c r="H11" i="2" l="1"/>
  <c r="C5" i="3"/>
  <c r="H10" i="2"/>
  <c r="H4" i="2"/>
  <c r="H14" i="2"/>
  <c r="H5" i="2"/>
  <c r="H8" i="2"/>
  <c r="C8" i="3"/>
  <c r="E4" i="3"/>
  <c r="H6" i="2"/>
  <c r="H9" i="2"/>
  <c r="H12" i="2"/>
  <c r="C6" i="3"/>
  <c r="E6" i="3"/>
  <c r="H13" i="2"/>
  <c r="K4" i="3"/>
  <c r="K6" i="3" s="1"/>
  <c r="K7" i="3" s="1"/>
  <c r="E8" i="3"/>
  <c r="F6" i="3"/>
  <c r="F4" i="3"/>
  <c r="C7" i="3"/>
  <c r="C4" i="3"/>
  <c r="K5" i="3"/>
  <c r="E7" i="3"/>
  <c r="E5" i="3"/>
  <c r="K13" i="3" l="1"/>
  <c r="K12" i="3"/>
  <c r="K11" i="3"/>
</calcChain>
</file>

<file path=xl/sharedStrings.xml><?xml version="1.0" encoding="utf-8"?>
<sst xmlns="http://schemas.openxmlformats.org/spreadsheetml/2006/main" count="286" uniqueCount="85">
  <si>
    <t>experiment_round</t>
  </si>
  <si>
    <t>sample_id</t>
  </si>
  <si>
    <t>water_added_g</t>
  </si>
  <si>
    <t>reading_number</t>
  </si>
  <si>
    <t>adc_reading</t>
  </si>
  <si>
    <t>threshold_adc</t>
  </si>
  <si>
    <t>system_decision</t>
  </si>
  <si>
    <t>R1-0g</t>
  </si>
  <si>
    <t>Pump ON</t>
  </si>
  <si>
    <t>R1-20g</t>
  </si>
  <si>
    <t>Pump OFF</t>
  </si>
  <si>
    <t>R1-40g</t>
  </si>
  <si>
    <t>R2-0g</t>
  </si>
  <si>
    <t>R2-10g</t>
  </si>
  <si>
    <t>Exploratory intermediate level</t>
  </si>
  <si>
    <t>R2-20g</t>
  </si>
  <si>
    <t>R2-30g</t>
  </si>
  <si>
    <t>R2-40g</t>
  </si>
  <si>
    <t>R3-0g</t>
  </si>
  <si>
    <t>R3-20g</t>
  </si>
  <si>
    <t>R3-40g</t>
  </si>
  <si>
    <t>ESP32 Soil-Moisture Calibration — Independent Sample Summary</t>
  </si>
  <si>
    <t>Round</t>
  </si>
  <si>
    <t>Sample ID</t>
  </si>
  <si>
    <t>Water added (g)</t>
  </si>
  <si>
    <t>Readings (n)</t>
  </si>
  <si>
    <t>Mean ADC</t>
  </si>
  <si>
    <t>Minimum</t>
  </si>
  <si>
    <t>Maximum</t>
  </si>
  <si>
    <t>Range</t>
  </si>
  <si>
    <t>Within-sample SD</t>
  </si>
  <si>
    <t>Role</t>
  </si>
  <si>
    <t>Pilot / replicate 1</t>
  </si>
  <si>
    <t>Independent replicate 2</t>
  </si>
  <si>
    <t>Independent replicate 3</t>
  </si>
  <si>
    <t>Interpretation note: the five ADC values inside one cup quantify measurement variability within that soil sample. They are not five independent soil replicates. The independent experimental units are the separate cups/samples listed above.</t>
  </si>
  <si>
    <t>Calibration Results by Added-Water Condition</t>
  </si>
  <si>
    <t>Independent samples (n)</t>
  </si>
  <si>
    <t>Mean of sample means (ADC)</t>
  </si>
  <si>
    <t>Between-sample SD</t>
  </si>
  <si>
    <t>Minimum sample mean</t>
  </si>
  <si>
    <t>Maximum sample mean</t>
  </si>
  <si>
    <t>Evidence level</t>
  </si>
  <si>
    <t>30 g prediction check</t>
  </si>
  <si>
    <t>Replicated main condition (n=3)</t>
  </si>
  <si>
    <t>Predicted ADC</t>
  </si>
  <si>
    <t>Exploratory condition (n=1)</t>
  </si>
  <si>
    <t>Observed mean ADC</t>
  </si>
  <si>
    <t>Absolute error (ADC)</t>
  </si>
  <si>
    <t>Error vs observed</t>
  </si>
  <si>
    <t>Descriptive linear fit</t>
  </si>
  <si>
    <t>Main result: mean ADC decreased consistently as added water increased. The 0 g, 20 g, and 40 g conditions each have three independent soil samples. The 10 g and 30 g conditions are useful intermediate observations but have only one independent sample each.</t>
  </si>
  <si>
    <t>Slope (ADC/g)</t>
  </si>
  <si>
    <t>Intercept (ADC)</t>
  </si>
  <si>
    <t>R²</t>
  </si>
  <si>
    <t>Experiment Protocol, Scope, and Limitations</t>
  </si>
  <si>
    <t>Item</t>
  </si>
  <si>
    <t>Recorded method / interpretation</t>
  </si>
  <si>
    <t>Research type</t>
  </si>
  <si>
    <t>Independent replicated calibration study expanding an initial pilot experiment.</t>
  </si>
  <si>
    <t>Independent variable</t>
  </si>
  <si>
    <t>Mass of water added to the soil sample: 0 g, 10 g, 20 g, 30 g, or 40 g.</t>
  </si>
  <si>
    <t>Dependent variable</t>
  </si>
  <si>
    <t>ESP32 ADC reading from the soil-moisture sensor on GPIO33.</t>
  </si>
  <si>
    <t>Independent experimental unit</t>
  </si>
  <si>
    <t>One separately prepared cup of soil. The 0 g, 20 g, and 40 g conditions each have three independent cups.</t>
  </si>
  <si>
    <t>Technical repeats</t>
  </si>
  <si>
    <t>Five ADC readings were recorded from each cup and averaged to obtain one sample-level result.</t>
  </si>
  <si>
    <t>Control measures</t>
  </si>
  <si>
    <t>New dry soil was used for each experimental round; cup type, soil height/amount, added-water mass, waiting procedure, sensor depth, and measurement method were kept as consistent as practicable.</t>
  </si>
  <si>
    <t>Decision threshold</t>
  </si>
  <si>
    <t>ADC &gt; 2200 corresponds to Pump ON in the current control logic; otherwise Pump OFF.</t>
  </si>
  <si>
    <t>Observed relationship</t>
  </si>
  <si>
    <t>Higher added-water mass produced lower ADC readings across all three replicated main conditions.</t>
  </si>
  <si>
    <t>Prediction validation</t>
  </si>
  <si>
    <t>The initial 20 g and 40 g means predicted approximately 1496 ADC at 30 g. The measured 30 g sample mean was 1397.4 ADC.</t>
  </si>
  <si>
    <t>Limitation 1</t>
  </si>
  <si>
    <t>Only one independent sample was prepared at 10 g and one at 30 g; their between-sample variability cannot be estimated.</t>
  </si>
  <si>
    <t>Limitation 2</t>
  </si>
  <si>
    <t>The experiment calibrated added-water mass under this soil and container setup; it did not establish universal volumetric soil moisture for every soil type.</t>
  </si>
  <si>
    <t>Limitation 3</t>
  </si>
  <si>
    <t>Exact dry-soil mass was not recorded in the supplied data; equal soil amount and height were controlled operationally.</t>
  </si>
  <si>
    <t>Data integrity</t>
  </si>
  <si>
    <t>All 55 ADC values in the raw-data sheet are reported measured values. No predicted value is included as a measured observation.</t>
  </si>
  <si>
    <t>Figure. Third independent experimental round using soil samples with 0 g, 20 g, and 40 g of added water.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</si>
</sst>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"/>
    <numFmt numFmtId="177" formatCode="0.0%"/>
    <numFmt numFmtId="178" formatCode="0.000"/>
  </numFmts>
  <fonts count="8">
    <font>
      <sz val="11"/>
      <name val="Carlito"/>
    </font>
    <font>
      <b/>
      <sz val="10"/>
      <color rgb="FFFFFFFF"/>
      <name val="Calibri"/>
      <family val="2"/>
    </font>
    <font>
      <sz val="10"/>
      <color rgb="FF1F2937"/>
      <name val="Calibri"/>
      <family val="2"/>
    </font>
    <font>
      <b/>
      <sz val="16"/>
      <color rgb="FFFFFFFF"/>
      <name val="Calibri"/>
      <family val="2"/>
    </font>
    <font>
      <i/>
      <sz val="10"/>
      <color rgb="FF1F2937"/>
      <name val="Calibri"/>
      <family val="2"/>
    </font>
    <font>
      <b/>
      <sz val="10"/>
      <color rgb="FF1F2937"/>
      <name val="Calibri"/>
      <family val="2"/>
    </font>
    <font>
      <sz val="11"/>
      <name val="Carlito"/>
    </font>
    <font>
      <sz val="9"/>
      <name val="FangSong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rgb="FF183153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E2F0D9"/>
      </patternFill>
    </fill>
  </fills>
  <borders count="13">
    <border>
      <left/>
      <right/>
      <top/>
      <bottom/>
      <diagonal/>
    </border>
    <border>
      <left style="thin">
        <color rgb="FF183153"/>
      </left>
      <right/>
      <top style="thin">
        <color rgb="FF183153"/>
      </top>
      <bottom style="thin">
        <color rgb="FFE3EAF0"/>
      </bottom>
      <diagonal/>
    </border>
    <border>
      <left/>
      <right/>
      <top style="thin">
        <color rgb="FF183153"/>
      </top>
      <bottom style="thin">
        <color rgb="FFE3EAF0"/>
      </bottom>
      <diagonal/>
    </border>
    <border>
      <left style="thin">
        <color rgb="FF183153"/>
      </left>
      <right/>
      <top style="thin">
        <color rgb="FFE3EAF0"/>
      </top>
      <bottom style="thin">
        <color rgb="FFE3EAF0"/>
      </bottom>
      <diagonal/>
    </border>
    <border>
      <left/>
      <right/>
      <top style="thin">
        <color rgb="FFE3EAF0"/>
      </top>
      <bottom style="thin">
        <color rgb="FFE3EAF0"/>
      </bottom>
      <diagonal/>
    </border>
    <border>
      <left style="thin">
        <color rgb="FF183153"/>
      </left>
      <right/>
      <top style="thin">
        <color rgb="FFE3EAF0"/>
      </top>
      <bottom style="thin">
        <color rgb="FFB7C9DA"/>
      </bottom>
      <diagonal/>
    </border>
    <border>
      <left/>
      <right/>
      <top style="thin">
        <color rgb="FFE3EAF0"/>
      </top>
      <bottom style="thin">
        <color rgb="FFB7C9DA"/>
      </bottom>
      <diagonal/>
    </border>
    <border>
      <left style="thin">
        <color rgb="FFB7C9DA"/>
      </left>
      <right/>
      <top style="thin">
        <color rgb="FFB7C9DA"/>
      </top>
      <bottom style="thin">
        <color rgb="FF183153"/>
      </bottom>
      <diagonal/>
    </border>
    <border>
      <left/>
      <right style="thin">
        <color rgb="FFB7C9DA"/>
      </right>
      <top style="thin">
        <color rgb="FFB7C9DA"/>
      </top>
      <bottom style="thin">
        <color rgb="FF183153"/>
      </bottom>
      <diagonal/>
    </border>
    <border>
      <left style="thin">
        <color rgb="FFB7C9DA"/>
      </left>
      <right/>
      <top/>
      <bottom/>
      <diagonal/>
    </border>
    <border>
      <left/>
      <right style="thin">
        <color rgb="FFB7C9DA"/>
      </right>
      <top/>
      <bottom/>
      <diagonal/>
    </border>
    <border>
      <left style="thin">
        <color rgb="FFB7C9DA"/>
      </left>
      <right/>
      <top/>
      <bottom style="thin">
        <color rgb="FFB7C9DA"/>
      </bottom>
      <diagonal/>
    </border>
    <border>
      <left/>
      <right style="thin">
        <color rgb="FFB7C9DA"/>
      </right>
      <top/>
      <bottom style="thin">
        <color rgb="FFB7C9DA"/>
      </bottom>
      <diagonal/>
    </border>
  </borders>
  <cellStyleXfs count="2">
    <xf numFmtId="0" fontId="0" fillId="0" borderId="0"/>
    <xf numFmtId="0" fontId="6" fillId="0" borderId="0"/>
  </cellStyleXfs>
  <cellXfs count="32">
    <xf numFmtId="0" fontId="0" fillId="0" borderId="0" xfId="0"/>
    <xf numFmtId="0" fontId="1" fillId="2" borderId="1" xfId="1" applyFont="1" applyFill="1" applyBorder="1" applyAlignment="1">
      <alignment horizontal="center" vertical="center" wrapText="1"/>
    </xf>
    <xf numFmtId="0" fontId="1" fillId="2" borderId="2" xfId="1" applyFont="1" applyFill="1" applyBorder="1" applyAlignment="1">
      <alignment horizontal="center" vertical="center" wrapText="1"/>
    </xf>
    <xf numFmtId="1" fontId="2" fillId="0" borderId="3" xfId="1" applyNumberFormat="1" applyFont="1" applyBorder="1" applyAlignment="1">
      <alignment horizontal="center"/>
    </xf>
    <xf numFmtId="0" fontId="2" fillId="0" borderId="4" xfId="1" applyFont="1" applyBorder="1" applyAlignment="1">
      <alignment horizontal="center"/>
    </xf>
    <xf numFmtId="1" fontId="2" fillId="0" borderId="4" xfId="1" applyNumberFormat="1" applyFont="1" applyBorder="1" applyAlignment="1">
      <alignment horizontal="center"/>
    </xf>
    <xf numFmtId="0" fontId="2" fillId="0" borderId="4" xfId="1" applyFont="1" applyBorder="1" applyAlignment="1">
      <alignment wrapText="1"/>
    </xf>
    <xf numFmtId="1" fontId="2" fillId="0" borderId="5" xfId="1" applyNumberFormat="1" applyFont="1" applyBorder="1" applyAlignment="1">
      <alignment horizontal="center"/>
    </xf>
    <xf numFmtId="0" fontId="2" fillId="0" borderId="6" xfId="1" applyFont="1" applyBorder="1" applyAlignment="1">
      <alignment horizontal="center"/>
    </xf>
    <xf numFmtId="1" fontId="2" fillId="0" borderId="6" xfId="1" applyNumberFormat="1" applyFont="1" applyBorder="1" applyAlignment="1">
      <alignment horizontal="center"/>
    </xf>
    <xf numFmtId="0" fontId="2" fillId="0" borderId="6" xfId="1" applyFont="1" applyBorder="1" applyAlignment="1">
      <alignment wrapText="1"/>
    </xf>
    <xf numFmtId="0" fontId="2" fillId="0" borderId="3" xfId="1" applyFont="1" applyBorder="1" applyAlignment="1">
      <alignment horizontal="center"/>
    </xf>
    <xf numFmtId="176" fontId="2" fillId="0" borderId="4" xfId="1" applyNumberFormat="1" applyFont="1" applyBorder="1" applyAlignment="1">
      <alignment horizontal="right"/>
    </xf>
    <xf numFmtId="0" fontId="2" fillId="0" borderId="5" xfId="1" applyFont="1" applyBorder="1" applyAlignment="1">
      <alignment horizontal="center"/>
    </xf>
    <xf numFmtId="176" fontId="2" fillId="0" borderId="6" xfId="1" applyNumberFormat="1" applyFont="1" applyBorder="1" applyAlignment="1">
      <alignment horizontal="right"/>
    </xf>
    <xf numFmtId="0" fontId="2" fillId="4" borderId="9" xfId="1" applyFont="1" applyFill="1" applyBorder="1"/>
    <xf numFmtId="176" fontId="2" fillId="0" borderId="10" xfId="1" applyNumberFormat="1" applyFont="1" applyBorder="1"/>
    <xf numFmtId="0" fontId="2" fillId="4" borderId="11" xfId="1" applyFont="1" applyFill="1" applyBorder="1"/>
    <xf numFmtId="177" fontId="2" fillId="0" borderId="12" xfId="1" applyNumberFormat="1" applyFont="1" applyBorder="1"/>
    <xf numFmtId="0" fontId="2" fillId="5" borderId="9" xfId="1" applyFont="1" applyFill="1" applyBorder="1"/>
    <xf numFmtId="0" fontId="2" fillId="5" borderId="11" xfId="1" applyFont="1" applyFill="1" applyBorder="1"/>
    <xf numFmtId="178" fontId="2" fillId="0" borderId="12" xfId="1" applyNumberFormat="1" applyFont="1" applyBorder="1"/>
    <xf numFmtId="0" fontId="2" fillId="4" borderId="3" xfId="1" applyFont="1" applyFill="1" applyBorder="1" applyAlignment="1">
      <alignment vertical="top" wrapText="1"/>
    </xf>
    <xf numFmtId="0" fontId="2" fillId="0" borderId="4" xfId="1" applyFont="1" applyBorder="1" applyAlignment="1">
      <alignment vertical="top" wrapText="1"/>
    </xf>
    <xf numFmtId="0" fontId="2" fillId="4" borderId="5" xfId="1" applyFont="1" applyFill="1" applyBorder="1" applyAlignment="1">
      <alignment vertical="top" wrapText="1"/>
    </xf>
    <xf numFmtId="0" fontId="2" fillId="0" borderId="6" xfId="1" applyFont="1" applyBorder="1" applyAlignment="1">
      <alignment vertical="top" wrapText="1"/>
    </xf>
    <xf numFmtId="0" fontId="3" fillId="2" borderId="0" xfId="1" applyFont="1" applyFill="1" applyAlignment="1">
      <alignment horizontal="left" vertical="center"/>
    </xf>
    <xf numFmtId="0" fontId="4" fillId="3" borderId="0" xfId="1" applyFont="1" applyFill="1" applyAlignment="1">
      <alignment vertical="center" wrapText="1"/>
    </xf>
    <xf numFmtId="0" fontId="1" fillId="2" borderId="7" xfId="1" applyFont="1" applyFill="1" applyBorder="1" applyAlignment="1">
      <alignment horizontal="center" vertical="center" wrapText="1"/>
    </xf>
    <xf numFmtId="0" fontId="1" fillId="2" borderId="8" xfId="1" applyFont="1" applyFill="1" applyBorder="1" applyAlignment="1">
      <alignment horizontal="center" vertical="center" wrapText="1"/>
    </xf>
    <xf numFmtId="0" fontId="5" fillId="5" borderId="0" xfId="1" applyFont="1" applyFill="1" applyAlignment="1">
      <alignment vertical="center" wrapText="1"/>
    </xf>
    <xf numFmtId="0" fontId="4" fillId="0" borderId="0" xfId="1" applyFont="1" applyAlignment="1">
      <alignment horizontal="center" wrapText="1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sz="975"/>
              <a:t>Mean ADC decreases as added water increases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Mean ADC reading</c:v>
          </c:tx>
          <c:marker>
            <c:symbol val="none"/>
          </c:marker>
          <c:cat>
            <c:numRef>
              <c:f>'Condition Summary'!$A$4:$A$8</c:f>
              <c:numCache>
                <c:formatCode>General</c:formatCode>
                <c:ptCount val="5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</c:numCache>
            </c:numRef>
          </c:cat>
          <c:val>
            <c:numRef>
              <c:f>'Condition Summary'!$C$4:$C$8</c:f>
              <c:numCache>
                <c:formatCode>0.0</c:formatCode>
                <c:ptCount val="5"/>
                <c:pt idx="0">
                  <c:v>3308.7999999999997</c:v>
                </c:pt>
                <c:pt idx="1">
                  <c:v>2433.6</c:v>
                </c:pt>
                <c:pt idx="2">
                  <c:v>1871.6666666666667</c:v>
                </c:pt>
                <c:pt idx="3">
                  <c:v>1397.4</c:v>
                </c:pt>
                <c:pt idx="4">
                  <c:v>1112.2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E6-FE4B-BCAD-BA8ADFD8E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t>Added water (g)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/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ax val="4000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t>Mean ADC reading</a:t>
                </a:r>
              </a:p>
            </c:rich>
          </c:tx>
          <c:overlay val="0"/>
        </c:title>
        <c:numFmt formatCode="0.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8</xdr:col>
      <xdr:colOff>0</xdr:colOff>
      <xdr:row>33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2</xdr:row>
      <xdr:rowOff>0</xdr:rowOff>
    </xdr:from>
    <xdr:ext cx="4953000" cy="3714750"/>
    <xdr:pic>
      <xdr:nvPicPr>
        <xdr:cNvPr id="2" name="/xl/media/image.jp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awMeasurementsTable" displayName="RawMeasurementsTable" ref="A1:G55" totalsRowShown="0">
  <tableColumns count="7">
    <tableColumn id="1" xr3:uid="{00000000-0010-0000-0000-000001000000}" name="experiment_round"/>
    <tableColumn id="2" xr3:uid="{00000000-0010-0000-0000-000002000000}" name="sample_id"/>
    <tableColumn id="3" xr3:uid="{00000000-0010-0000-0000-000003000000}" name="water_added_g"/>
    <tableColumn id="4" xr3:uid="{00000000-0010-0000-0000-000004000000}" name="reading_number"/>
    <tableColumn id="5" xr3:uid="{00000000-0010-0000-0000-000005000000}" name="adc_reading"/>
    <tableColumn id="6" xr3:uid="{00000000-0010-0000-0000-000006000000}" name="threshold_adc"/>
    <tableColumn id="7" xr3:uid="{00000000-0010-0000-0000-000007000000}" name="system_decis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6"/>
  <sheetViews>
    <sheetView showGridLines="0" tabSelected="1" topLeftCell="A33" zoomScale="142" workbookViewId="0">
      <selection activeCell="H1" sqref="H1"/>
    </sheetView>
  </sheetViews>
  <sheetFormatPr baseColWidth="10" defaultColWidth="8.83203125" defaultRowHeight="14"/>
  <cols>
    <col min="1" max="1" width="15" customWidth="1"/>
    <col min="2" max="2" width="13" customWidth="1"/>
    <col min="3" max="4" width="15" customWidth="1"/>
    <col min="5" max="6" width="14" customWidth="1"/>
    <col min="7" max="7" width="15" customWidth="1"/>
    <col min="8" max="8" width="20" customWidth="1"/>
    <col min="9" max="9" width="45" customWidth="1"/>
  </cols>
  <sheetData>
    <row r="1" spans="1:7" ht="1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ht="15">
      <c r="A2" s="3">
        <v>1</v>
      </c>
      <c r="B2" s="4" t="s">
        <v>7</v>
      </c>
      <c r="C2" s="5">
        <v>0</v>
      </c>
      <c r="D2" s="5">
        <v>1</v>
      </c>
      <c r="E2" s="5">
        <v>3057</v>
      </c>
      <c r="F2" s="5">
        <v>2200</v>
      </c>
      <c r="G2" s="4" t="s">
        <v>8</v>
      </c>
    </row>
    <row r="3" spans="1:7" ht="15">
      <c r="A3" s="3">
        <v>1</v>
      </c>
      <c r="B3" s="4" t="s">
        <v>7</v>
      </c>
      <c r="C3" s="5">
        <v>0</v>
      </c>
      <c r="D3" s="5">
        <v>2</v>
      </c>
      <c r="E3" s="5">
        <v>3620</v>
      </c>
      <c r="F3" s="5">
        <v>2200</v>
      </c>
      <c r="G3" s="4" t="s">
        <v>8</v>
      </c>
    </row>
    <row r="4" spans="1:7" ht="15">
      <c r="A4" s="3">
        <v>1</v>
      </c>
      <c r="B4" s="4" t="s">
        <v>7</v>
      </c>
      <c r="C4" s="5">
        <v>0</v>
      </c>
      <c r="D4" s="5">
        <v>3</v>
      </c>
      <c r="E4" s="5">
        <v>3220</v>
      </c>
      <c r="F4" s="5">
        <v>2200</v>
      </c>
      <c r="G4" s="4" t="s">
        <v>8</v>
      </c>
    </row>
    <row r="5" spans="1:7" ht="15">
      <c r="A5" s="3">
        <v>1</v>
      </c>
      <c r="B5" s="4" t="s">
        <v>7</v>
      </c>
      <c r="C5" s="5">
        <v>0</v>
      </c>
      <c r="D5" s="5">
        <v>4</v>
      </c>
      <c r="E5" s="5">
        <v>3393</v>
      </c>
      <c r="F5" s="5">
        <v>2200</v>
      </c>
      <c r="G5" s="4" t="s">
        <v>8</v>
      </c>
    </row>
    <row r="6" spans="1:7" ht="15">
      <c r="A6" s="3">
        <v>1</v>
      </c>
      <c r="B6" s="4" t="s">
        <v>7</v>
      </c>
      <c r="C6" s="5">
        <v>0</v>
      </c>
      <c r="D6" s="5">
        <v>5</v>
      </c>
      <c r="E6" s="5">
        <v>3079</v>
      </c>
      <c r="F6" s="5">
        <v>2200</v>
      </c>
      <c r="G6" s="4" t="s">
        <v>8</v>
      </c>
    </row>
    <row r="7" spans="1:7" ht="15">
      <c r="A7" s="3">
        <v>1</v>
      </c>
      <c r="B7" s="4" t="s">
        <v>9</v>
      </c>
      <c r="C7" s="5">
        <v>20</v>
      </c>
      <c r="D7" s="5">
        <v>1</v>
      </c>
      <c r="E7" s="5">
        <v>1890</v>
      </c>
      <c r="F7" s="5">
        <v>2200</v>
      </c>
      <c r="G7" s="4" t="s">
        <v>10</v>
      </c>
    </row>
    <row r="8" spans="1:7" ht="15">
      <c r="A8" s="3">
        <v>1</v>
      </c>
      <c r="B8" s="4" t="s">
        <v>9</v>
      </c>
      <c r="C8" s="5">
        <v>20</v>
      </c>
      <c r="D8" s="5">
        <v>2</v>
      </c>
      <c r="E8" s="5">
        <v>1904</v>
      </c>
      <c r="F8" s="5">
        <v>2200</v>
      </c>
      <c r="G8" s="4" t="s">
        <v>10</v>
      </c>
    </row>
    <row r="9" spans="1:7" ht="15">
      <c r="A9" s="3">
        <v>1</v>
      </c>
      <c r="B9" s="4" t="s">
        <v>9</v>
      </c>
      <c r="C9" s="5">
        <v>20</v>
      </c>
      <c r="D9" s="5">
        <v>3</v>
      </c>
      <c r="E9" s="5">
        <v>1923</v>
      </c>
      <c r="F9" s="5">
        <v>2200</v>
      </c>
      <c r="G9" s="4" t="s">
        <v>10</v>
      </c>
    </row>
    <row r="10" spans="1:7" ht="15">
      <c r="A10" s="3">
        <v>1</v>
      </c>
      <c r="B10" s="4" t="s">
        <v>9</v>
      </c>
      <c r="C10" s="5">
        <v>20</v>
      </c>
      <c r="D10" s="5">
        <v>4</v>
      </c>
      <c r="E10" s="5">
        <v>1825</v>
      </c>
      <c r="F10" s="5">
        <v>2200</v>
      </c>
      <c r="G10" s="4" t="s">
        <v>10</v>
      </c>
    </row>
    <row r="11" spans="1:7" ht="15">
      <c r="A11" s="3">
        <v>1</v>
      </c>
      <c r="B11" s="4" t="s">
        <v>9</v>
      </c>
      <c r="C11" s="5">
        <v>20</v>
      </c>
      <c r="D11" s="5">
        <v>5</v>
      </c>
      <c r="E11" s="5">
        <v>1806</v>
      </c>
      <c r="F11" s="5">
        <v>2200</v>
      </c>
      <c r="G11" s="4" t="s">
        <v>10</v>
      </c>
    </row>
    <row r="12" spans="1:7" ht="15">
      <c r="A12" s="3">
        <v>1</v>
      </c>
      <c r="B12" s="4" t="s">
        <v>11</v>
      </c>
      <c r="C12" s="5">
        <v>40</v>
      </c>
      <c r="D12" s="5">
        <v>1</v>
      </c>
      <c r="E12" s="5">
        <v>1102</v>
      </c>
      <c r="F12" s="5">
        <v>2200</v>
      </c>
      <c r="G12" s="4" t="s">
        <v>10</v>
      </c>
    </row>
    <row r="13" spans="1:7" ht="15">
      <c r="A13" s="3">
        <v>1</v>
      </c>
      <c r="B13" s="4" t="s">
        <v>11</v>
      </c>
      <c r="C13" s="5">
        <v>40</v>
      </c>
      <c r="D13" s="5">
        <v>2</v>
      </c>
      <c r="E13" s="5">
        <v>1037</v>
      </c>
      <c r="F13" s="5">
        <v>2200</v>
      </c>
      <c r="G13" s="4" t="s">
        <v>10</v>
      </c>
    </row>
    <row r="14" spans="1:7" ht="15">
      <c r="A14" s="3">
        <v>1</v>
      </c>
      <c r="B14" s="4" t="s">
        <v>11</v>
      </c>
      <c r="C14" s="5">
        <v>40</v>
      </c>
      <c r="D14" s="5">
        <v>3</v>
      </c>
      <c r="E14" s="5">
        <v>1208</v>
      </c>
      <c r="F14" s="5">
        <v>2200</v>
      </c>
      <c r="G14" s="4" t="s">
        <v>10</v>
      </c>
    </row>
    <row r="15" spans="1:7" ht="15">
      <c r="A15" s="3">
        <v>1</v>
      </c>
      <c r="B15" s="4" t="s">
        <v>11</v>
      </c>
      <c r="C15" s="5">
        <v>40</v>
      </c>
      <c r="D15" s="5">
        <v>4</v>
      </c>
      <c r="E15" s="5">
        <v>1179</v>
      </c>
      <c r="F15" s="5">
        <v>2200</v>
      </c>
      <c r="G15" s="4" t="s">
        <v>10</v>
      </c>
    </row>
    <row r="16" spans="1:7" ht="15">
      <c r="A16" s="3">
        <v>1</v>
      </c>
      <c r="B16" s="4" t="s">
        <v>11</v>
      </c>
      <c r="C16" s="5">
        <v>40</v>
      </c>
      <c r="D16" s="5">
        <v>5</v>
      </c>
      <c r="E16" s="5">
        <v>1089</v>
      </c>
      <c r="F16" s="5">
        <v>2200</v>
      </c>
      <c r="G16" s="4" t="s">
        <v>10</v>
      </c>
    </row>
    <row r="17" spans="1:7" ht="15">
      <c r="A17" s="3">
        <v>2</v>
      </c>
      <c r="B17" s="4" t="s">
        <v>12</v>
      </c>
      <c r="C17" s="5">
        <v>0</v>
      </c>
      <c r="D17" s="5">
        <v>1</v>
      </c>
      <c r="E17" s="5">
        <v>3275</v>
      </c>
      <c r="F17" s="5">
        <v>2200</v>
      </c>
      <c r="G17" s="4" t="s">
        <v>8</v>
      </c>
    </row>
    <row r="18" spans="1:7" ht="15">
      <c r="A18" s="3">
        <v>2</v>
      </c>
      <c r="B18" s="4" t="s">
        <v>12</v>
      </c>
      <c r="C18" s="5">
        <v>0</v>
      </c>
      <c r="D18" s="5">
        <v>2</v>
      </c>
      <c r="E18" s="5">
        <v>3329</v>
      </c>
      <c r="F18" s="5">
        <v>2200</v>
      </c>
      <c r="G18" s="4" t="s">
        <v>8</v>
      </c>
    </row>
    <row r="19" spans="1:7" ht="15">
      <c r="A19" s="3">
        <v>2</v>
      </c>
      <c r="B19" s="4" t="s">
        <v>12</v>
      </c>
      <c r="C19" s="5">
        <v>0</v>
      </c>
      <c r="D19" s="5">
        <v>3</v>
      </c>
      <c r="E19" s="5">
        <v>3078</v>
      </c>
      <c r="F19" s="5">
        <v>2200</v>
      </c>
      <c r="G19" s="4" t="s">
        <v>8</v>
      </c>
    </row>
    <row r="20" spans="1:7" ht="15">
      <c r="A20" s="3">
        <v>2</v>
      </c>
      <c r="B20" s="4" t="s">
        <v>12</v>
      </c>
      <c r="C20" s="5">
        <v>0</v>
      </c>
      <c r="D20" s="5">
        <v>4</v>
      </c>
      <c r="E20" s="5">
        <v>2997</v>
      </c>
      <c r="F20" s="5">
        <v>2200</v>
      </c>
      <c r="G20" s="4" t="s">
        <v>8</v>
      </c>
    </row>
    <row r="21" spans="1:7" ht="15">
      <c r="A21" s="3">
        <v>2</v>
      </c>
      <c r="B21" s="4" t="s">
        <v>12</v>
      </c>
      <c r="C21" s="5">
        <v>0</v>
      </c>
      <c r="D21" s="5">
        <v>5</v>
      </c>
      <c r="E21" s="5">
        <v>3402</v>
      </c>
      <c r="F21" s="5">
        <v>2200</v>
      </c>
      <c r="G21" s="4" t="s">
        <v>8</v>
      </c>
    </row>
    <row r="22" spans="1:7" ht="15">
      <c r="A22" s="3">
        <v>2</v>
      </c>
      <c r="B22" s="4" t="s">
        <v>13</v>
      </c>
      <c r="C22" s="5">
        <v>10</v>
      </c>
      <c r="D22" s="5">
        <v>1</v>
      </c>
      <c r="E22" s="5">
        <v>2483</v>
      </c>
      <c r="F22" s="5">
        <v>2200</v>
      </c>
      <c r="G22" s="4" t="s">
        <v>8</v>
      </c>
    </row>
    <row r="23" spans="1:7" ht="15">
      <c r="A23" s="3">
        <v>2</v>
      </c>
      <c r="B23" s="4" t="s">
        <v>13</v>
      </c>
      <c r="C23" s="5">
        <v>10</v>
      </c>
      <c r="D23" s="5">
        <v>2</v>
      </c>
      <c r="E23" s="5">
        <v>2496</v>
      </c>
      <c r="F23" s="5">
        <v>2200</v>
      </c>
      <c r="G23" s="4" t="s">
        <v>8</v>
      </c>
    </row>
    <row r="24" spans="1:7" ht="15">
      <c r="A24" s="3">
        <v>2</v>
      </c>
      <c r="B24" s="4" t="s">
        <v>13</v>
      </c>
      <c r="C24" s="5">
        <v>10</v>
      </c>
      <c r="D24" s="5">
        <v>3</v>
      </c>
      <c r="E24" s="5">
        <v>2052</v>
      </c>
      <c r="F24" s="5">
        <v>2200</v>
      </c>
      <c r="G24" s="4" t="s">
        <v>10</v>
      </c>
    </row>
    <row r="25" spans="1:7" ht="15">
      <c r="A25" s="3">
        <v>2</v>
      </c>
      <c r="B25" s="4" t="s">
        <v>13</v>
      </c>
      <c r="C25" s="5">
        <v>10</v>
      </c>
      <c r="D25" s="5">
        <v>4</v>
      </c>
      <c r="E25" s="5">
        <v>2600</v>
      </c>
      <c r="F25" s="5">
        <v>2200</v>
      </c>
      <c r="G25" s="4" t="s">
        <v>8</v>
      </c>
    </row>
    <row r="26" spans="1:7" ht="15">
      <c r="A26" s="3">
        <v>2</v>
      </c>
      <c r="B26" s="4" t="s">
        <v>13</v>
      </c>
      <c r="C26" s="5">
        <v>10</v>
      </c>
      <c r="D26" s="5">
        <v>5</v>
      </c>
      <c r="E26" s="5">
        <v>2537</v>
      </c>
      <c r="F26" s="5">
        <v>2200</v>
      </c>
      <c r="G26" s="4" t="s">
        <v>8</v>
      </c>
    </row>
    <row r="27" spans="1:7" ht="15">
      <c r="A27" s="3">
        <v>2</v>
      </c>
      <c r="B27" s="4" t="s">
        <v>15</v>
      </c>
      <c r="C27" s="5">
        <v>20</v>
      </c>
      <c r="D27" s="5">
        <v>1</v>
      </c>
      <c r="E27" s="5">
        <v>1872</v>
      </c>
      <c r="F27" s="5">
        <v>2200</v>
      </c>
      <c r="G27" s="4" t="s">
        <v>10</v>
      </c>
    </row>
    <row r="28" spans="1:7" ht="15">
      <c r="A28" s="3">
        <v>2</v>
      </c>
      <c r="B28" s="4" t="s">
        <v>15</v>
      </c>
      <c r="C28" s="5">
        <v>20</v>
      </c>
      <c r="D28" s="5">
        <v>2</v>
      </c>
      <c r="E28" s="5">
        <v>1928</v>
      </c>
      <c r="F28" s="5">
        <v>2200</v>
      </c>
      <c r="G28" s="4" t="s">
        <v>10</v>
      </c>
    </row>
    <row r="29" spans="1:7" ht="15">
      <c r="A29" s="3">
        <v>2</v>
      </c>
      <c r="B29" s="4" t="s">
        <v>15</v>
      </c>
      <c r="C29" s="5">
        <v>20</v>
      </c>
      <c r="D29" s="5">
        <v>3</v>
      </c>
      <c r="E29" s="5">
        <v>1936</v>
      </c>
      <c r="F29" s="5">
        <v>2200</v>
      </c>
      <c r="G29" s="4" t="s">
        <v>10</v>
      </c>
    </row>
    <row r="30" spans="1:7" ht="15">
      <c r="A30" s="3">
        <v>2</v>
      </c>
      <c r="B30" s="4" t="s">
        <v>15</v>
      </c>
      <c r="C30" s="5">
        <v>20</v>
      </c>
      <c r="D30" s="5">
        <v>4</v>
      </c>
      <c r="E30" s="5">
        <v>1706</v>
      </c>
      <c r="F30" s="5">
        <v>2200</v>
      </c>
      <c r="G30" s="4" t="s">
        <v>10</v>
      </c>
    </row>
    <row r="31" spans="1:7" ht="15">
      <c r="A31" s="3">
        <v>2</v>
      </c>
      <c r="B31" s="4" t="s">
        <v>15</v>
      </c>
      <c r="C31" s="5">
        <v>20</v>
      </c>
      <c r="D31" s="5">
        <v>5</v>
      </c>
      <c r="E31" s="5">
        <v>1753</v>
      </c>
      <c r="F31" s="5">
        <v>2200</v>
      </c>
      <c r="G31" s="4" t="s">
        <v>10</v>
      </c>
    </row>
    <row r="32" spans="1:7" ht="15">
      <c r="A32" s="3">
        <v>2</v>
      </c>
      <c r="B32" s="4" t="s">
        <v>16</v>
      </c>
      <c r="C32" s="5">
        <v>30</v>
      </c>
      <c r="D32" s="5">
        <v>1</v>
      </c>
      <c r="E32" s="5">
        <v>1243</v>
      </c>
      <c r="F32" s="5">
        <v>2200</v>
      </c>
      <c r="G32" s="4" t="s">
        <v>10</v>
      </c>
    </row>
    <row r="33" spans="1:7" ht="15">
      <c r="A33" s="3">
        <v>2</v>
      </c>
      <c r="B33" s="4" t="s">
        <v>16</v>
      </c>
      <c r="C33" s="5">
        <v>30</v>
      </c>
      <c r="D33" s="5">
        <v>2</v>
      </c>
      <c r="E33" s="5">
        <v>1423</v>
      </c>
      <c r="F33" s="5">
        <v>2200</v>
      </c>
      <c r="G33" s="4" t="s">
        <v>10</v>
      </c>
    </row>
    <row r="34" spans="1:7" ht="15">
      <c r="A34" s="3">
        <v>2</v>
      </c>
      <c r="B34" s="4" t="s">
        <v>16</v>
      </c>
      <c r="C34" s="5">
        <v>30</v>
      </c>
      <c r="D34" s="5">
        <v>3</v>
      </c>
      <c r="E34" s="5">
        <v>1496</v>
      </c>
      <c r="F34" s="5">
        <v>2200</v>
      </c>
      <c r="G34" s="4" t="s">
        <v>10</v>
      </c>
    </row>
    <row r="35" spans="1:7" ht="15">
      <c r="A35" s="3">
        <v>2</v>
      </c>
      <c r="B35" s="4" t="s">
        <v>16</v>
      </c>
      <c r="C35" s="5">
        <v>30</v>
      </c>
      <c r="D35" s="5">
        <v>4</v>
      </c>
      <c r="E35" s="5">
        <v>1503</v>
      </c>
      <c r="F35" s="5">
        <v>2200</v>
      </c>
      <c r="G35" s="4" t="s">
        <v>10</v>
      </c>
    </row>
    <row r="36" spans="1:7" ht="15">
      <c r="A36" s="3">
        <v>2</v>
      </c>
      <c r="B36" s="4" t="s">
        <v>16</v>
      </c>
      <c r="C36" s="5">
        <v>30</v>
      </c>
      <c r="D36" s="5">
        <v>5</v>
      </c>
      <c r="E36" s="5">
        <v>1322</v>
      </c>
      <c r="F36" s="5">
        <v>2200</v>
      </c>
      <c r="G36" s="4" t="s">
        <v>10</v>
      </c>
    </row>
    <row r="37" spans="1:7" ht="15">
      <c r="A37" s="3">
        <v>2</v>
      </c>
      <c r="B37" s="4" t="s">
        <v>17</v>
      </c>
      <c r="C37" s="5">
        <v>40</v>
      </c>
      <c r="D37" s="5">
        <v>1</v>
      </c>
      <c r="E37" s="5">
        <v>1075</v>
      </c>
      <c r="F37" s="5">
        <v>2200</v>
      </c>
      <c r="G37" s="4" t="s">
        <v>10</v>
      </c>
    </row>
    <row r="38" spans="1:7" ht="15">
      <c r="A38" s="3">
        <v>2</v>
      </c>
      <c r="B38" s="4" t="s">
        <v>17</v>
      </c>
      <c r="C38" s="5">
        <v>40</v>
      </c>
      <c r="D38" s="5">
        <v>2</v>
      </c>
      <c r="E38" s="5">
        <v>1123</v>
      </c>
      <c r="F38" s="5">
        <v>2200</v>
      </c>
      <c r="G38" s="4" t="s">
        <v>10</v>
      </c>
    </row>
    <row r="39" spans="1:7" ht="15">
      <c r="A39" s="3">
        <v>2</v>
      </c>
      <c r="B39" s="4" t="s">
        <v>17</v>
      </c>
      <c r="C39" s="5">
        <v>40</v>
      </c>
      <c r="D39" s="5">
        <v>3</v>
      </c>
      <c r="E39" s="5">
        <v>1209</v>
      </c>
      <c r="F39" s="5">
        <v>2200</v>
      </c>
      <c r="G39" s="4" t="s">
        <v>10</v>
      </c>
    </row>
    <row r="40" spans="1:7" ht="15">
      <c r="A40" s="3">
        <v>2</v>
      </c>
      <c r="B40" s="4" t="s">
        <v>17</v>
      </c>
      <c r="C40" s="5">
        <v>40</v>
      </c>
      <c r="D40" s="5">
        <v>4</v>
      </c>
      <c r="E40" s="5">
        <v>972</v>
      </c>
      <c r="F40" s="5">
        <v>2200</v>
      </c>
      <c r="G40" s="4" t="s">
        <v>10</v>
      </c>
    </row>
    <row r="41" spans="1:7" ht="15">
      <c r="A41" s="3">
        <v>2</v>
      </c>
      <c r="B41" s="4" t="s">
        <v>17</v>
      </c>
      <c r="C41" s="5">
        <v>40</v>
      </c>
      <c r="D41" s="5">
        <v>5</v>
      </c>
      <c r="E41" s="5">
        <v>956</v>
      </c>
      <c r="F41" s="5">
        <v>2200</v>
      </c>
      <c r="G41" s="4" t="s">
        <v>10</v>
      </c>
    </row>
    <row r="42" spans="1:7" ht="15">
      <c r="A42" s="3">
        <v>3</v>
      </c>
      <c r="B42" s="4" t="s">
        <v>18</v>
      </c>
      <c r="C42" s="5">
        <v>0</v>
      </c>
      <c r="D42" s="5">
        <v>1</v>
      </c>
      <c r="E42" s="5">
        <v>3527</v>
      </c>
      <c r="F42" s="5">
        <v>2200</v>
      </c>
      <c r="G42" s="4" t="s">
        <v>8</v>
      </c>
    </row>
    <row r="43" spans="1:7" ht="15">
      <c r="A43" s="3">
        <v>3</v>
      </c>
      <c r="B43" s="4" t="s">
        <v>18</v>
      </c>
      <c r="C43" s="5">
        <v>0</v>
      </c>
      <c r="D43" s="5">
        <v>2</v>
      </c>
      <c r="E43" s="5">
        <v>3609</v>
      </c>
      <c r="F43" s="5">
        <v>2200</v>
      </c>
      <c r="G43" s="4" t="s">
        <v>8</v>
      </c>
    </row>
    <row r="44" spans="1:7" ht="15">
      <c r="A44" s="3">
        <v>3</v>
      </c>
      <c r="B44" s="4" t="s">
        <v>18</v>
      </c>
      <c r="C44" s="5">
        <v>0</v>
      </c>
      <c r="D44" s="5">
        <v>3</v>
      </c>
      <c r="E44" s="5">
        <v>3237</v>
      </c>
      <c r="F44" s="5">
        <v>2200</v>
      </c>
      <c r="G44" s="4" t="s">
        <v>8</v>
      </c>
    </row>
    <row r="45" spans="1:7" ht="15">
      <c r="A45" s="3">
        <v>3</v>
      </c>
      <c r="B45" s="4" t="s">
        <v>18</v>
      </c>
      <c r="C45" s="5">
        <v>0</v>
      </c>
      <c r="D45" s="5">
        <v>4</v>
      </c>
      <c r="E45" s="5">
        <v>3784</v>
      </c>
      <c r="F45" s="5">
        <v>2200</v>
      </c>
      <c r="G45" s="4" t="s">
        <v>8</v>
      </c>
    </row>
    <row r="46" spans="1:7" ht="15">
      <c r="A46" s="3">
        <v>3</v>
      </c>
      <c r="B46" s="4" t="s">
        <v>18</v>
      </c>
      <c r="C46" s="5">
        <v>0</v>
      </c>
      <c r="D46" s="5">
        <v>5</v>
      </c>
      <c r="E46" s="5">
        <v>3025</v>
      </c>
      <c r="F46" s="5">
        <v>2200</v>
      </c>
      <c r="G46" s="4" t="s">
        <v>8</v>
      </c>
    </row>
    <row r="47" spans="1:7" ht="15">
      <c r="A47" s="3">
        <v>3</v>
      </c>
      <c r="B47" s="4" t="s">
        <v>19</v>
      </c>
      <c r="C47" s="5">
        <v>20</v>
      </c>
      <c r="D47" s="5">
        <v>1</v>
      </c>
      <c r="E47" s="5">
        <v>1993</v>
      </c>
      <c r="F47" s="5">
        <v>2200</v>
      </c>
      <c r="G47" s="4" t="s">
        <v>10</v>
      </c>
    </row>
    <row r="48" spans="1:7" ht="15">
      <c r="A48" s="3">
        <v>3</v>
      </c>
      <c r="B48" s="4" t="s">
        <v>19</v>
      </c>
      <c r="C48" s="5">
        <v>20</v>
      </c>
      <c r="D48" s="5">
        <v>2</v>
      </c>
      <c r="E48" s="5">
        <v>1827</v>
      </c>
      <c r="F48" s="5">
        <v>2200</v>
      </c>
      <c r="G48" s="4" t="s">
        <v>10</v>
      </c>
    </row>
    <row r="49" spans="1:9" ht="15">
      <c r="A49" s="3">
        <v>3</v>
      </c>
      <c r="B49" s="4" t="s">
        <v>19</v>
      </c>
      <c r="C49" s="5">
        <v>20</v>
      </c>
      <c r="D49" s="5">
        <v>3</v>
      </c>
      <c r="E49" s="5">
        <v>1906</v>
      </c>
      <c r="F49" s="5">
        <v>2200</v>
      </c>
      <c r="G49" s="4" t="s">
        <v>10</v>
      </c>
    </row>
    <row r="50" spans="1:9" ht="15">
      <c r="A50" s="3">
        <v>3</v>
      </c>
      <c r="B50" s="4" t="s">
        <v>19</v>
      </c>
      <c r="C50" s="5">
        <v>20</v>
      </c>
      <c r="D50" s="5">
        <v>4</v>
      </c>
      <c r="E50" s="5">
        <v>2007</v>
      </c>
      <c r="F50" s="5">
        <v>2200</v>
      </c>
      <c r="G50" s="4" t="s">
        <v>10</v>
      </c>
    </row>
    <row r="51" spans="1:9" ht="15">
      <c r="A51" s="3">
        <v>3</v>
      </c>
      <c r="B51" s="4" t="s">
        <v>19</v>
      </c>
      <c r="C51" s="5">
        <v>20</v>
      </c>
      <c r="D51" s="5">
        <v>5</v>
      </c>
      <c r="E51" s="5">
        <v>1799</v>
      </c>
      <c r="F51" s="5">
        <v>2200</v>
      </c>
      <c r="G51" s="4" t="s">
        <v>10</v>
      </c>
    </row>
    <row r="52" spans="1:9" ht="15">
      <c r="A52" s="3">
        <v>3</v>
      </c>
      <c r="B52" s="4" t="s">
        <v>20</v>
      </c>
      <c r="C52" s="5">
        <v>40</v>
      </c>
      <c r="D52" s="5">
        <v>1</v>
      </c>
      <c r="E52" s="5">
        <v>1199</v>
      </c>
      <c r="F52" s="5">
        <v>2200</v>
      </c>
      <c r="G52" s="4" t="s">
        <v>10</v>
      </c>
    </row>
    <row r="53" spans="1:9" ht="15">
      <c r="A53" s="3">
        <v>3</v>
      </c>
      <c r="B53" s="4" t="s">
        <v>20</v>
      </c>
      <c r="C53" s="5">
        <v>40</v>
      </c>
      <c r="D53" s="5">
        <v>2</v>
      </c>
      <c r="E53" s="5">
        <v>1068</v>
      </c>
      <c r="F53" s="5">
        <v>2200</v>
      </c>
      <c r="G53" s="4" t="s">
        <v>10</v>
      </c>
    </row>
    <row r="54" spans="1:9" ht="15">
      <c r="A54" s="3">
        <v>3</v>
      </c>
      <c r="B54" s="4" t="s">
        <v>20</v>
      </c>
      <c r="C54" s="5">
        <v>40</v>
      </c>
      <c r="D54" s="5">
        <v>3</v>
      </c>
      <c r="E54" s="5">
        <v>1307</v>
      </c>
      <c r="F54" s="5">
        <v>2200</v>
      </c>
      <c r="G54" s="4" t="s">
        <v>10</v>
      </c>
    </row>
    <row r="55" spans="1:9" ht="15">
      <c r="A55" s="3">
        <v>3</v>
      </c>
      <c r="B55" s="4" t="s">
        <v>20</v>
      </c>
      <c r="C55" s="5">
        <v>40</v>
      </c>
      <c r="D55" s="5">
        <v>4</v>
      </c>
      <c r="E55" s="5">
        <v>1124</v>
      </c>
      <c r="F55" s="5">
        <v>2200</v>
      </c>
      <c r="G55" s="4" t="s">
        <v>10</v>
      </c>
    </row>
    <row r="56" spans="1:9" ht="15">
      <c r="A56" s="7">
        <v>3</v>
      </c>
      <c r="B56" s="8" t="s">
        <v>20</v>
      </c>
      <c r="C56" s="9">
        <v>40</v>
      </c>
      <c r="D56" s="9">
        <v>5</v>
      </c>
      <c r="E56" s="9">
        <v>1035</v>
      </c>
      <c r="F56" s="9">
        <v>2200</v>
      </c>
      <c r="G56" s="8" t="s">
        <v>10</v>
      </c>
      <c r="H56" s="8"/>
      <c r="I56" s="10"/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8"/>
  <sheetViews>
    <sheetView showGridLines="0" workbookViewId="0"/>
  </sheetViews>
  <sheetFormatPr baseColWidth="10" defaultColWidth="8.83203125" defaultRowHeight="14"/>
  <cols>
    <col min="1" max="1" width="10" customWidth="1"/>
    <col min="2" max="2" width="13" customWidth="1"/>
    <col min="3" max="3" width="17" customWidth="1"/>
    <col min="4" max="4" width="14" customWidth="1"/>
    <col min="5" max="5" width="13" customWidth="1"/>
    <col min="6" max="8" width="12" customWidth="1"/>
    <col min="9" max="9" width="18" customWidth="1"/>
    <col min="10" max="10" width="28" customWidth="1"/>
  </cols>
  <sheetData>
    <row r="1" spans="1:10" ht="28" customHeight="1">
      <c r="A1" s="26" t="s">
        <v>21</v>
      </c>
      <c r="B1" s="26" t="s">
        <v>21</v>
      </c>
      <c r="C1" s="26" t="s">
        <v>21</v>
      </c>
      <c r="D1" s="26" t="s">
        <v>21</v>
      </c>
      <c r="E1" s="26" t="s">
        <v>21</v>
      </c>
      <c r="F1" s="26" t="s">
        <v>21</v>
      </c>
      <c r="G1" s="26" t="s">
        <v>21</v>
      </c>
      <c r="H1" s="26" t="s">
        <v>21</v>
      </c>
      <c r="I1" s="26" t="s">
        <v>21</v>
      </c>
      <c r="J1" s="26" t="s">
        <v>21</v>
      </c>
    </row>
    <row r="3" spans="1:10" ht="15">
      <c r="A3" s="1" t="s">
        <v>22</v>
      </c>
      <c r="B3" s="2" t="s">
        <v>23</v>
      </c>
      <c r="C3" s="2" t="s">
        <v>24</v>
      </c>
      <c r="D3" s="2" t="s">
        <v>25</v>
      </c>
      <c r="E3" s="2" t="s">
        <v>26</v>
      </c>
      <c r="F3" s="2" t="s">
        <v>27</v>
      </c>
      <c r="G3" s="2" t="s">
        <v>28</v>
      </c>
      <c r="H3" s="2" t="s">
        <v>29</v>
      </c>
      <c r="I3" s="2" t="s">
        <v>30</v>
      </c>
      <c r="J3" s="2" t="s">
        <v>31</v>
      </c>
    </row>
    <row r="4" spans="1:10" ht="15">
      <c r="A4" s="11">
        <v>1</v>
      </c>
      <c r="B4" s="4" t="s">
        <v>7</v>
      </c>
      <c r="C4" s="4">
        <v>0</v>
      </c>
      <c r="D4" s="4">
        <f>COUNT('Raw Data'!$E$2:$E$6)</f>
        <v>5</v>
      </c>
      <c r="E4" s="12">
        <f>AVERAGE('Raw Data'!$E$2:$E$6)</f>
        <v>3273.8</v>
      </c>
      <c r="F4" s="12">
        <f>MIN('Raw Data'!$E$2:$E$6)</f>
        <v>3057</v>
      </c>
      <c r="G4" s="12">
        <f>MAX('Raw Data'!$E$2:$E$6)</f>
        <v>3620</v>
      </c>
      <c r="H4" s="12">
        <f t="shared" ref="H4:H14" si="0">G4-F4</f>
        <v>563</v>
      </c>
      <c r="I4" s="12" t="e">
        <f ca="1">_xludf.STDEV.S('Raw Data'!$E$2:$E$6)</f>
        <v>#NAME?</v>
      </c>
      <c r="J4" s="6" t="s">
        <v>32</v>
      </c>
    </row>
    <row r="5" spans="1:10" ht="15">
      <c r="A5" s="11">
        <v>1</v>
      </c>
      <c r="B5" s="4" t="s">
        <v>9</v>
      </c>
      <c r="C5" s="4">
        <v>20</v>
      </c>
      <c r="D5" s="4">
        <f>COUNT('Raw Data'!$E$7:$E$11)</f>
        <v>5</v>
      </c>
      <c r="E5" s="12">
        <f>AVERAGE('Raw Data'!$E$7:$E$11)</f>
        <v>1869.6</v>
      </c>
      <c r="F5" s="12">
        <f>MIN('Raw Data'!$E$7:$E$11)</f>
        <v>1806</v>
      </c>
      <c r="G5" s="12">
        <f>MAX('Raw Data'!$E$7:$E$11)</f>
        <v>1923</v>
      </c>
      <c r="H5" s="12">
        <f t="shared" si="0"/>
        <v>117</v>
      </c>
      <c r="I5" s="12" t="e">
        <f ca="1">_xludf.STDEV.S('Raw Data'!$E$7:$E$11)</f>
        <v>#NAME?</v>
      </c>
      <c r="J5" s="6" t="s">
        <v>32</v>
      </c>
    </row>
    <row r="6" spans="1:10" ht="15">
      <c r="A6" s="11">
        <v>1</v>
      </c>
      <c r="B6" s="4" t="s">
        <v>11</v>
      </c>
      <c r="C6" s="4">
        <v>40</v>
      </c>
      <c r="D6" s="4">
        <f>COUNT('Raw Data'!$E$12:$E$16)</f>
        <v>5</v>
      </c>
      <c r="E6" s="12">
        <f>AVERAGE('Raw Data'!$E$12:$E$16)</f>
        <v>1123</v>
      </c>
      <c r="F6" s="12">
        <f>MIN('Raw Data'!$E$12:$E$16)</f>
        <v>1037</v>
      </c>
      <c r="G6" s="12">
        <f>MAX('Raw Data'!$E$12:$E$16)</f>
        <v>1208</v>
      </c>
      <c r="H6" s="12">
        <f t="shared" si="0"/>
        <v>171</v>
      </c>
      <c r="I6" s="12" t="e">
        <f ca="1">_xludf.STDEV.S('Raw Data'!$E$12:$E$16)</f>
        <v>#NAME?</v>
      </c>
      <c r="J6" s="6" t="s">
        <v>32</v>
      </c>
    </row>
    <row r="7" spans="1:10" ht="15">
      <c r="A7" s="11">
        <v>2</v>
      </c>
      <c r="B7" s="4" t="s">
        <v>12</v>
      </c>
      <c r="C7" s="4">
        <v>0</v>
      </c>
      <c r="D7" s="4">
        <f>COUNT('Raw Data'!$E$17:$E$21)</f>
        <v>5</v>
      </c>
      <c r="E7" s="12">
        <f>AVERAGE('Raw Data'!$E$17:$E$21)</f>
        <v>3216.2</v>
      </c>
      <c r="F7" s="12">
        <f>MIN('Raw Data'!$E$17:$E$21)</f>
        <v>2997</v>
      </c>
      <c r="G7" s="12">
        <f>MAX('Raw Data'!$E$17:$E$21)</f>
        <v>3402</v>
      </c>
      <c r="H7" s="12">
        <f t="shared" si="0"/>
        <v>405</v>
      </c>
      <c r="I7" s="12" t="e">
        <f ca="1">_xludf.STDEV.S('Raw Data'!$E$17:$E$21)</f>
        <v>#NAME?</v>
      </c>
      <c r="J7" s="6" t="s">
        <v>33</v>
      </c>
    </row>
    <row r="8" spans="1:10" ht="15">
      <c r="A8" s="11">
        <v>2</v>
      </c>
      <c r="B8" s="4" t="s">
        <v>13</v>
      </c>
      <c r="C8" s="4">
        <v>10</v>
      </c>
      <c r="D8" s="4">
        <f>COUNT('Raw Data'!$E$22:$E$26)</f>
        <v>5</v>
      </c>
      <c r="E8" s="12">
        <f>AVERAGE('Raw Data'!$E$22:$E$26)</f>
        <v>2433.6</v>
      </c>
      <c r="F8" s="12">
        <f>MIN('Raw Data'!$E$22:$E$26)</f>
        <v>2052</v>
      </c>
      <c r="G8" s="12">
        <f>MAX('Raw Data'!$E$22:$E$26)</f>
        <v>2600</v>
      </c>
      <c r="H8" s="12">
        <f t="shared" si="0"/>
        <v>548</v>
      </c>
      <c r="I8" s="12" t="e">
        <f ca="1">_xludf.STDEV.S('Raw Data'!$E$22:$E$26)</f>
        <v>#NAME?</v>
      </c>
      <c r="J8" s="6" t="s">
        <v>14</v>
      </c>
    </row>
    <row r="9" spans="1:10" ht="15">
      <c r="A9" s="11">
        <v>2</v>
      </c>
      <c r="B9" s="4" t="s">
        <v>15</v>
      </c>
      <c r="C9" s="4">
        <v>20</v>
      </c>
      <c r="D9" s="4">
        <f>COUNT('Raw Data'!$E$27:$E$31)</f>
        <v>5</v>
      </c>
      <c r="E9" s="12">
        <f>AVERAGE('Raw Data'!$E$27:$E$31)</f>
        <v>1839</v>
      </c>
      <c r="F9" s="12">
        <f>MIN('Raw Data'!$E$27:$E$31)</f>
        <v>1706</v>
      </c>
      <c r="G9" s="12">
        <f>MAX('Raw Data'!$E$27:$E$31)</f>
        <v>1936</v>
      </c>
      <c r="H9" s="12">
        <f t="shared" si="0"/>
        <v>230</v>
      </c>
      <c r="I9" s="12" t="e">
        <f ca="1">_xludf.STDEV.S('Raw Data'!$E$27:$E$31)</f>
        <v>#NAME?</v>
      </c>
      <c r="J9" s="6" t="s">
        <v>33</v>
      </c>
    </row>
    <row r="10" spans="1:10" ht="15">
      <c r="A10" s="11">
        <v>2</v>
      </c>
      <c r="B10" s="4" t="s">
        <v>16</v>
      </c>
      <c r="C10" s="4">
        <v>30</v>
      </c>
      <c r="D10" s="4">
        <f>COUNT('Raw Data'!$E$32:$E$36)</f>
        <v>5</v>
      </c>
      <c r="E10" s="12">
        <f>AVERAGE('Raw Data'!$E$32:$E$36)</f>
        <v>1397.4</v>
      </c>
      <c r="F10" s="12">
        <f>MIN('Raw Data'!$E$32:$E$36)</f>
        <v>1243</v>
      </c>
      <c r="G10" s="12">
        <f>MAX('Raw Data'!$E$32:$E$36)</f>
        <v>1503</v>
      </c>
      <c r="H10" s="12">
        <f t="shared" si="0"/>
        <v>260</v>
      </c>
      <c r="I10" s="12" t="e">
        <f ca="1">_xludf.STDEV.S('Raw Data'!$E$32:$E$36)</f>
        <v>#NAME?</v>
      </c>
      <c r="J10" s="6" t="s">
        <v>14</v>
      </c>
    </row>
    <row r="11" spans="1:10" ht="15">
      <c r="A11" s="11">
        <v>2</v>
      </c>
      <c r="B11" s="4" t="s">
        <v>17</v>
      </c>
      <c r="C11" s="4">
        <v>40</v>
      </c>
      <c r="D11" s="4">
        <f>COUNT('Raw Data'!$E$37:$E$41)</f>
        <v>5</v>
      </c>
      <c r="E11" s="12">
        <f>AVERAGE('Raw Data'!$E$37:$E$41)</f>
        <v>1067</v>
      </c>
      <c r="F11" s="12">
        <f>MIN('Raw Data'!$E$37:$E$41)</f>
        <v>956</v>
      </c>
      <c r="G11" s="12">
        <f>MAX('Raw Data'!$E$37:$E$41)</f>
        <v>1209</v>
      </c>
      <c r="H11" s="12">
        <f t="shared" si="0"/>
        <v>253</v>
      </c>
      <c r="I11" s="12" t="e">
        <f ca="1">_xludf.STDEV.S('Raw Data'!$E$37:$E$41)</f>
        <v>#NAME?</v>
      </c>
      <c r="J11" s="6" t="s">
        <v>33</v>
      </c>
    </row>
    <row r="12" spans="1:10" ht="15">
      <c r="A12" s="11">
        <v>3</v>
      </c>
      <c r="B12" s="4" t="s">
        <v>18</v>
      </c>
      <c r="C12" s="4">
        <v>0</v>
      </c>
      <c r="D12" s="4">
        <f>COUNT('Raw Data'!$E$42:$E$46)</f>
        <v>5</v>
      </c>
      <c r="E12" s="12">
        <f>AVERAGE('Raw Data'!$E$42:$E$46)</f>
        <v>3436.4</v>
      </c>
      <c r="F12" s="12">
        <f>MIN('Raw Data'!$E$42:$E$46)</f>
        <v>3025</v>
      </c>
      <c r="G12" s="12">
        <f>MAX('Raw Data'!$E$42:$E$46)</f>
        <v>3784</v>
      </c>
      <c r="H12" s="12">
        <f t="shared" si="0"/>
        <v>759</v>
      </c>
      <c r="I12" s="12" t="e">
        <f ca="1">_xludf.STDEV.S('Raw Data'!$E$42:$E$46)</f>
        <v>#NAME?</v>
      </c>
      <c r="J12" s="6" t="s">
        <v>34</v>
      </c>
    </row>
    <row r="13" spans="1:10" ht="15">
      <c r="A13" s="11">
        <v>3</v>
      </c>
      <c r="B13" s="4" t="s">
        <v>19</v>
      </c>
      <c r="C13" s="4">
        <v>20</v>
      </c>
      <c r="D13" s="4">
        <f>COUNT('Raw Data'!$E$47:$E$51)</f>
        <v>5</v>
      </c>
      <c r="E13" s="12">
        <f>AVERAGE('Raw Data'!$E$47:$E$51)</f>
        <v>1906.4</v>
      </c>
      <c r="F13" s="12">
        <f>MIN('Raw Data'!$E$47:$E$51)</f>
        <v>1799</v>
      </c>
      <c r="G13" s="12">
        <f>MAX('Raw Data'!$E$47:$E$51)</f>
        <v>2007</v>
      </c>
      <c r="H13" s="12">
        <f t="shared" si="0"/>
        <v>208</v>
      </c>
      <c r="I13" s="12" t="e">
        <f ca="1">_xludf.STDEV.S('Raw Data'!$E$47:$E$51)</f>
        <v>#NAME?</v>
      </c>
      <c r="J13" s="6" t="s">
        <v>34</v>
      </c>
    </row>
    <row r="14" spans="1:10" ht="15">
      <c r="A14" s="13">
        <v>3</v>
      </c>
      <c r="B14" s="8" t="s">
        <v>20</v>
      </c>
      <c r="C14" s="8">
        <v>40</v>
      </c>
      <c r="D14" s="8">
        <f>COUNT('Raw Data'!$E$52:$E$56)</f>
        <v>5</v>
      </c>
      <c r="E14" s="14">
        <f>AVERAGE('Raw Data'!$E$52:$E$56)</f>
        <v>1146.5999999999999</v>
      </c>
      <c r="F14" s="14">
        <f>MIN('Raw Data'!$E$52:$E$56)</f>
        <v>1035</v>
      </c>
      <c r="G14" s="14">
        <f>MAX('Raw Data'!$E$52:$E$56)</f>
        <v>1307</v>
      </c>
      <c r="H14" s="14">
        <f t="shared" si="0"/>
        <v>272</v>
      </c>
      <c r="I14" s="14" t="e">
        <f ca="1">_xludf.STDEV.S('Raw Data'!$E$52:$E$56)</f>
        <v>#NAME?</v>
      </c>
      <c r="J14" s="10" t="s">
        <v>34</v>
      </c>
    </row>
    <row r="16" spans="1:10">
      <c r="A16" s="27" t="s">
        <v>35</v>
      </c>
      <c r="B16" s="27" t="s">
        <v>35</v>
      </c>
      <c r="C16" s="27" t="s">
        <v>35</v>
      </c>
      <c r="D16" s="27" t="s">
        <v>35</v>
      </c>
      <c r="E16" s="27" t="s">
        <v>35</v>
      </c>
      <c r="F16" s="27" t="s">
        <v>35</v>
      </c>
      <c r="G16" s="27" t="s">
        <v>35</v>
      </c>
      <c r="H16" s="27" t="s">
        <v>35</v>
      </c>
      <c r="I16" s="27" t="s">
        <v>35</v>
      </c>
      <c r="J16" s="27" t="s">
        <v>35</v>
      </c>
    </row>
    <row r="17" spans="1:10">
      <c r="A17" s="27" t="s">
        <v>35</v>
      </c>
      <c r="B17" s="27" t="s">
        <v>35</v>
      </c>
      <c r="C17" s="27" t="s">
        <v>35</v>
      </c>
      <c r="D17" s="27" t="s">
        <v>35</v>
      </c>
      <c r="E17" s="27" t="s">
        <v>35</v>
      </c>
      <c r="F17" s="27" t="s">
        <v>35</v>
      </c>
      <c r="G17" s="27" t="s">
        <v>35</v>
      </c>
      <c r="H17" s="27" t="s">
        <v>35</v>
      </c>
      <c r="I17" s="27" t="s">
        <v>35</v>
      </c>
      <c r="J17" s="27" t="s">
        <v>35</v>
      </c>
    </row>
    <row r="18" spans="1:10">
      <c r="A18" s="27" t="s">
        <v>35</v>
      </c>
      <c r="B18" s="27" t="s">
        <v>35</v>
      </c>
      <c r="C18" s="27" t="s">
        <v>35</v>
      </c>
      <c r="D18" s="27" t="s">
        <v>35</v>
      </c>
      <c r="E18" s="27" t="s">
        <v>35</v>
      </c>
      <c r="F18" s="27" t="s">
        <v>35</v>
      </c>
      <c r="G18" s="27" t="s">
        <v>35</v>
      </c>
      <c r="H18" s="27" t="s">
        <v>35</v>
      </c>
      <c r="I18" s="27" t="s">
        <v>35</v>
      </c>
      <c r="J18" s="27" t="s">
        <v>35</v>
      </c>
    </row>
  </sheetData>
  <mergeCells count="2">
    <mergeCell ref="A1:J1"/>
    <mergeCell ref="A16:J18"/>
  </mergeCells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3"/>
  <sheetViews>
    <sheetView showGridLines="0" workbookViewId="0"/>
  </sheetViews>
  <sheetFormatPr baseColWidth="10" defaultColWidth="8.83203125" defaultRowHeight="14"/>
  <cols>
    <col min="1" max="1" width="16" customWidth="1"/>
    <col min="2" max="2" width="20" customWidth="1"/>
    <col min="3" max="6" width="23" customWidth="1"/>
    <col min="7" max="7" width="30" customWidth="1"/>
    <col min="10" max="10" width="24" customWidth="1"/>
    <col min="11" max="11" width="18" customWidth="1"/>
  </cols>
  <sheetData>
    <row r="1" spans="1:11" ht="28" customHeight="1">
      <c r="A1" s="26" t="s">
        <v>36</v>
      </c>
      <c r="B1" s="26" t="s">
        <v>36</v>
      </c>
      <c r="C1" s="26" t="s">
        <v>36</v>
      </c>
      <c r="D1" s="26" t="s">
        <v>36</v>
      </c>
      <c r="E1" s="26" t="s">
        <v>36</v>
      </c>
      <c r="F1" s="26" t="s">
        <v>36</v>
      </c>
      <c r="G1" s="26" t="s">
        <v>36</v>
      </c>
    </row>
    <row r="3" spans="1:11" ht="15">
      <c r="A3" s="1" t="s">
        <v>24</v>
      </c>
      <c r="B3" s="2" t="s">
        <v>37</v>
      </c>
      <c r="C3" s="2" t="s">
        <v>38</v>
      </c>
      <c r="D3" s="2" t="s">
        <v>39</v>
      </c>
      <c r="E3" s="2" t="s">
        <v>40</v>
      </c>
      <c r="F3" s="2" t="s">
        <v>41</v>
      </c>
      <c r="G3" s="2" t="s">
        <v>42</v>
      </c>
      <c r="J3" s="28" t="s">
        <v>43</v>
      </c>
      <c r="K3" s="29" t="s">
        <v>43</v>
      </c>
    </row>
    <row r="4" spans="1:11" ht="15">
      <c r="A4" s="11">
        <v>0</v>
      </c>
      <c r="B4" s="4">
        <v>3</v>
      </c>
      <c r="C4" s="12">
        <f>AVERAGE('Sample Summary'!E4,'Sample Summary'!E7,'Sample Summary'!E12)</f>
        <v>3308.7999999999997</v>
      </c>
      <c r="D4" s="12" t="e">
        <f ca="1">_xludf.STDEV.S('Sample Summary'!E4,'Sample Summary'!E7,'Sample Summary'!E12)</f>
        <v>#NAME?</v>
      </c>
      <c r="E4" s="12">
        <f>MIN('Sample Summary'!E4,'Sample Summary'!E7,'Sample Summary'!E12)</f>
        <v>3216.2</v>
      </c>
      <c r="F4" s="12">
        <f>MAX('Sample Summary'!E4,'Sample Summary'!E7,'Sample Summary'!E12)</f>
        <v>3436.4</v>
      </c>
      <c r="G4" s="6" t="s">
        <v>44</v>
      </c>
      <c r="J4" s="15" t="s">
        <v>45</v>
      </c>
      <c r="K4" s="16">
        <f>ROUND(('Sample Summary'!E5+'Sample Summary'!E6)/2,0)</f>
        <v>1496</v>
      </c>
    </row>
    <row r="5" spans="1:11" ht="15">
      <c r="A5" s="11">
        <v>10</v>
      </c>
      <c r="B5" s="4">
        <v>1</v>
      </c>
      <c r="C5" s="12">
        <f>AVERAGE('Sample Summary'!E8)</f>
        <v>2433.6</v>
      </c>
      <c r="D5" s="12" t="str">
        <f>"Not estimated"</f>
        <v>Not estimated</v>
      </c>
      <c r="E5" s="12">
        <f>MIN('Sample Summary'!E8)</f>
        <v>2433.6</v>
      </c>
      <c r="F5" s="12">
        <f>MAX('Sample Summary'!E8)</f>
        <v>2433.6</v>
      </c>
      <c r="G5" s="6" t="s">
        <v>46</v>
      </c>
      <c r="J5" s="15" t="s">
        <v>47</v>
      </c>
      <c r="K5" s="16">
        <f>'Sample Summary'!E10</f>
        <v>1397.4</v>
      </c>
    </row>
    <row r="6" spans="1:11" ht="15">
      <c r="A6" s="11">
        <v>20</v>
      </c>
      <c r="B6" s="4">
        <v>3</v>
      </c>
      <c r="C6" s="12">
        <f>AVERAGE('Sample Summary'!E5,'Sample Summary'!E9,'Sample Summary'!E13)</f>
        <v>1871.6666666666667</v>
      </c>
      <c r="D6" s="12" t="e">
        <f ca="1">_xludf.STDEV.S('Sample Summary'!E5,'Sample Summary'!E9,'Sample Summary'!E13)</f>
        <v>#NAME?</v>
      </c>
      <c r="E6" s="12">
        <f>MIN('Sample Summary'!E5,'Sample Summary'!E9,'Sample Summary'!E13)</f>
        <v>1839</v>
      </c>
      <c r="F6" s="12">
        <f>MAX('Sample Summary'!E5,'Sample Summary'!E9,'Sample Summary'!E13)</f>
        <v>1906.4</v>
      </c>
      <c r="G6" s="6" t="s">
        <v>44</v>
      </c>
      <c r="J6" s="15" t="s">
        <v>48</v>
      </c>
      <c r="K6" s="16">
        <f>ABS(K4-K5)</f>
        <v>98.599999999999909</v>
      </c>
    </row>
    <row r="7" spans="1:11" ht="15">
      <c r="A7" s="11">
        <v>30</v>
      </c>
      <c r="B7" s="4">
        <v>1</v>
      </c>
      <c r="C7" s="12">
        <f>AVERAGE('Sample Summary'!E10)</f>
        <v>1397.4</v>
      </c>
      <c r="D7" s="12" t="str">
        <f>"Not estimated"</f>
        <v>Not estimated</v>
      </c>
      <c r="E7" s="12">
        <f>MIN('Sample Summary'!E10)</f>
        <v>1397.4</v>
      </c>
      <c r="F7" s="12">
        <f>MAX('Sample Summary'!E10)</f>
        <v>1397.4</v>
      </c>
      <c r="G7" s="6" t="s">
        <v>46</v>
      </c>
      <c r="J7" s="17" t="s">
        <v>49</v>
      </c>
      <c r="K7" s="18">
        <f>K6/K5</f>
        <v>7.0559610705596035E-2</v>
      </c>
    </row>
    <row r="8" spans="1:11" ht="15">
      <c r="A8" s="13">
        <v>40</v>
      </c>
      <c r="B8" s="8">
        <v>3</v>
      </c>
      <c r="C8" s="14">
        <f>AVERAGE('Sample Summary'!E6,'Sample Summary'!E11,'Sample Summary'!E14)</f>
        <v>1112.2</v>
      </c>
      <c r="D8" s="14" t="e">
        <f ca="1">_xludf.STDEV.S('Sample Summary'!E6,'Sample Summary'!E11,'Sample Summary'!E14)</f>
        <v>#NAME?</v>
      </c>
      <c r="E8" s="14">
        <f>MIN('Sample Summary'!E6,'Sample Summary'!E11,'Sample Summary'!E14)</f>
        <v>1067</v>
      </c>
      <c r="F8" s="14">
        <f>MAX('Sample Summary'!E6,'Sample Summary'!E11,'Sample Summary'!E14)</f>
        <v>1146.5999999999999</v>
      </c>
      <c r="G8" s="10" t="s">
        <v>44</v>
      </c>
    </row>
    <row r="10" spans="1:11">
      <c r="J10" s="28" t="s">
        <v>50</v>
      </c>
      <c r="K10" s="29" t="s">
        <v>50</v>
      </c>
    </row>
    <row r="11" spans="1:11" ht="15">
      <c r="A11" s="30" t="s">
        <v>51</v>
      </c>
      <c r="B11" s="30" t="s">
        <v>51</v>
      </c>
      <c r="C11" s="30" t="s">
        <v>51</v>
      </c>
      <c r="D11" s="30" t="s">
        <v>51</v>
      </c>
      <c r="E11" s="30" t="s">
        <v>51</v>
      </c>
      <c r="F11" s="30" t="s">
        <v>51</v>
      </c>
      <c r="G11" s="30" t="s">
        <v>51</v>
      </c>
      <c r="J11" s="19" t="s">
        <v>52</v>
      </c>
      <c r="K11" s="16">
        <f>SLOPE(C4:C8,A4:A8)</f>
        <v>-54.29399999999999</v>
      </c>
    </row>
    <row r="12" spans="1:11" ht="15">
      <c r="A12" s="30" t="s">
        <v>51</v>
      </c>
      <c r="B12" s="30" t="s">
        <v>51</v>
      </c>
      <c r="C12" s="30" t="s">
        <v>51</v>
      </c>
      <c r="D12" s="30" t="s">
        <v>51</v>
      </c>
      <c r="E12" s="30" t="s">
        <v>51</v>
      </c>
      <c r="F12" s="30" t="s">
        <v>51</v>
      </c>
      <c r="G12" s="30" t="s">
        <v>51</v>
      </c>
      <c r="J12" s="19" t="s">
        <v>53</v>
      </c>
      <c r="K12" s="16">
        <f>INTERCEPT(C4:C8,A4:A8)</f>
        <v>3110.6133333333337</v>
      </c>
    </row>
    <row r="13" spans="1:11" ht="15">
      <c r="A13" s="30" t="s">
        <v>51</v>
      </c>
      <c r="B13" s="30" t="s">
        <v>51</v>
      </c>
      <c r="C13" s="30" t="s">
        <v>51</v>
      </c>
      <c r="D13" s="30" t="s">
        <v>51</v>
      </c>
      <c r="E13" s="30" t="s">
        <v>51</v>
      </c>
      <c r="F13" s="30" t="s">
        <v>51</v>
      </c>
      <c r="G13" s="30" t="s">
        <v>51</v>
      </c>
      <c r="J13" s="20" t="s">
        <v>54</v>
      </c>
      <c r="K13" s="21">
        <f>RSQ(C4:C8,A4:A8)</f>
        <v>0.96155703491748046</v>
      </c>
    </row>
  </sheetData>
  <mergeCells count="4">
    <mergeCell ref="A1:G1"/>
    <mergeCell ref="J3:K3"/>
    <mergeCell ref="J10:K10"/>
    <mergeCell ref="A11:G13"/>
  </mergeCells>
  <phoneticPr fontId="7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4"/>
  <sheetViews>
    <sheetView showGridLines="0" workbookViewId="0"/>
  </sheetViews>
  <sheetFormatPr baseColWidth="10" defaultColWidth="8.83203125" defaultRowHeight="14"/>
  <cols>
    <col min="1" max="1" width="24" customWidth="1"/>
    <col min="2" max="2" width="70" customWidth="1"/>
  </cols>
  <sheetData>
    <row r="1" spans="1:8" ht="28" customHeight="1">
      <c r="A1" s="26" t="s">
        <v>55</v>
      </c>
      <c r="B1" s="26" t="s">
        <v>55</v>
      </c>
      <c r="C1" s="26" t="s">
        <v>55</v>
      </c>
      <c r="D1" s="26" t="s">
        <v>55</v>
      </c>
      <c r="E1" s="26" t="s">
        <v>55</v>
      </c>
      <c r="F1" s="26" t="s">
        <v>55</v>
      </c>
      <c r="G1" s="26" t="s">
        <v>55</v>
      </c>
      <c r="H1" s="26" t="s">
        <v>55</v>
      </c>
    </row>
    <row r="3" spans="1:8" ht="15">
      <c r="A3" s="1" t="s">
        <v>56</v>
      </c>
      <c r="B3" s="2" t="s">
        <v>57</v>
      </c>
    </row>
    <row r="4" spans="1:8" ht="15" customHeight="1">
      <c r="A4" s="22" t="s">
        <v>58</v>
      </c>
      <c r="B4" s="23" t="s">
        <v>59</v>
      </c>
    </row>
    <row r="5" spans="1:8" ht="15" customHeight="1">
      <c r="A5" s="22" t="s">
        <v>60</v>
      </c>
      <c r="B5" s="23" t="s">
        <v>61</v>
      </c>
    </row>
    <row r="6" spans="1:8" ht="15" customHeight="1">
      <c r="A6" s="22" t="s">
        <v>62</v>
      </c>
      <c r="B6" s="23" t="s">
        <v>63</v>
      </c>
    </row>
    <row r="7" spans="1:8" ht="24" customHeight="1">
      <c r="A7" s="22" t="s">
        <v>64</v>
      </c>
      <c r="B7" s="23" t="s">
        <v>65</v>
      </c>
    </row>
    <row r="8" spans="1:8" ht="15" customHeight="1">
      <c r="A8" s="22" t="s">
        <v>66</v>
      </c>
      <c r="B8" s="23" t="s">
        <v>67</v>
      </c>
    </row>
    <row r="9" spans="1:8" ht="24" customHeight="1">
      <c r="A9" s="22" t="s">
        <v>68</v>
      </c>
      <c r="B9" s="23" t="s">
        <v>69</v>
      </c>
    </row>
    <row r="10" spans="1:8" ht="15" customHeight="1">
      <c r="A10" s="22" t="s">
        <v>70</v>
      </c>
      <c r="B10" s="23" t="s">
        <v>71</v>
      </c>
    </row>
    <row r="11" spans="1:8" ht="15" customHeight="1">
      <c r="A11" s="22" t="s">
        <v>72</v>
      </c>
      <c r="B11" s="23" t="s">
        <v>73</v>
      </c>
    </row>
    <row r="12" spans="1:8" ht="24" customHeight="1">
      <c r="A12" s="22" t="s">
        <v>74</v>
      </c>
      <c r="B12" s="23" t="s">
        <v>75</v>
      </c>
    </row>
    <row r="13" spans="1:8" ht="24" customHeight="1">
      <c r="A13" s="22" t="s">
        <v>76</v>
      </c>
      <c r="B13" s="23" t="s">
        <v>77</v>
      </c>
    </row>
    <row r="14" spans="1:8" ht="24" customHeight="1">
      <c r="A14" s="22" t="s">
        <v>78</v>
      </c>
      <c r="B14" s="23" t="s">
        <v>79</v>
      </c>
    </row>
    <row r="15" spans="1:8" ht="24" customHeight="1">
      <c r="A15" s="22" t="s">
        <v>80</v>
      </c>
      <c r="B15" s="23" t="s">
        <v>81</v>
      </c>
    </row>
    <row r="16" spans="1:8" ht="24" customHeight="1">
      <c r="A16" s="24" t="s">
        <v>82</v>
      </c>
      <c r="B16" s="25" t="s">
        <v>83</v>
      </c>
    </row>
    <row r="23" spans="4:8">
      <c r="D23" s="31" t="s">
        <v>84</v>
      </c>
      <c r="E23" s="31" t="s">
        <v>84</v>
      </c>
      <c r="F23" s="31" t="s">
        <v>84</v>
      </c>
      <c r="G23" s="31" t="s">
        <v>84</v>
      </c>
      <c r="H23" s="31" t="s">
        <v>84</v>
      </c>
    </row>
    <row r="24" spans="4:8">
      <c r="D24" s="31" t="s">
        <v>84</v>
      </c>
      <c r="E24" s="31" t="s">
        <v>84</v>
      </c>
      <c r="F24" s="31" t="s">
        <v>84</v>
      </c>
      <c r="G24" s="31" t="s">
        <v>84</v>
      </c>
      <c r="H24" s="31" t="s">
        <v>84</v>
      </c>
    </row>
  </sheetData>
  <mergeCells count="2">
    <mergeCell ref="A1:H1"/>
    <mergeCell ref="D23:H24"/>
  </mergeCells>
  <phoneticPr fontId="7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Raw Data</vt:lpstr>
      <vt:lpstr>Sample Summary</vt:lpstr>
      <vt:lpstr>Condition Summary</vt:lpstr>
      <vt:lpstr>Protocol &amp; 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e29612</cp:lastModifiedBy>
  <dcterms:created xsi:type="dcterms:W3CDTF">2026-08-13T03:13:15Z</dcterms:created>
  <dcterms:modified xsi:type="dcterms:W3CDTF">2026-08-13T03:13:15Z</dcterms:modified>
</cp:coreProperties>
</file>