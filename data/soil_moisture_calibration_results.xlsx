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1304c37c3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ea937db18dff4c70"/>
    <x:sheet xmlns:r="http://schemas.openxmlformats.org/officeDocument/2006/relationships" name="Sample Summary" sheetId="2" r:id="R70a7f8cd96544605"/>
    <x:sheet xmlns:r="http://schemas.openxmlformats.org/officeDocument/2006/relationships" name="Condition Summary" sheetId="3" r:id="R76a40f0f544148af"/>
    <x:sheet xmlns:r="http://schemas.openxmlformats.org/officeDocument/2006/relationships" name="Protocol &amp; Notes" sheetId="4" r:id="R5a15c655772b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%"/>
    <x:numFmt numFmtId="203" formatCode="0.000"/>
  </x:numFmts>
  <x:fonts count="6">
    <x:font>
      <x:sz val="11"/>
      <x:name val="Carlito"/>
    </x:font>
    <x:font>
      <x:b/>
      <x:sz val="10"/>
      <x:color rgb="FFFFFFFF"/>
      <x:name val="Calibri"/>
    </x:font>
    <x:font>
      <x:sz val="10"/>
      <x:color rgb="FF1F2937"/>
      <x:name val="Calibri"/>
    </x:font>
    <x:font>
      <x:b/>
      <x:sz val="16"/>
      <x:color rgb="FFFFFFFF"/>
      <x:name val="Calibri"/>
    </x:font>
    <x:font>
      <x:i/>
      <x:sz val="10"/>
      <x:color rgb="FF1F2937"/>
      <x:name val="Calibri"/>
    </x:font>
    <x:font>
      <x:b/>
      <x:sz val="10"/>
      <x:color rgb="FF1F2937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6">
    <x:border/>
    <x:border>
      <x:left style="thin">
        <x:color rgb="FF183153"/>
      </x:left>
      <x:top style="thin">
        <x:color rgb="FF183153"/>
      </x:top>
      <x:bottom style="thin">
        <x:color rgb="FF183153"/>
      </x:bottom>
    </x:border>
    <x:border>
      <x:top style="thin">
        <x:color rgb="FF183153"/>
      </x:top>
      <x:bottom style="thin">
        <x:color rgb="FF183153"/>
      </x:bottom>
    </x:border>
    <x:border>
      <x:right style="thin">
        <x:color rgb="FF183153"/>
      </x:right>
      <x:top style="thin">
        <x:color rgb="FF183153"/>
      </x:top>
      <x:bottom style="thin">
        <x:color rgb="FF183153"/>
      </x:bottom>
    </x:border>
    <x:border>
      <x:left style="thin">
        <x:color rgb="FF183153"/>
      </x:left>
      <x:top style="thin">
        <x:color rgb="FF183153"/>
      </x:top>
      <x:bottom style="thin">
        <x:color rgb="FFE3EAF0"/>
      </x:bottom>
    </x:border>
    <x:border>
      <x:top style="thin">
        <x:color rgb="FF183153"/>
      </x:top>
      <x:bottom style="thin">
        <x:color rgb="FFE3EAF0"/>
      </x:bottom>
    </x:border>
    <x:border>
      <x:left style="thin">
        <x:color rgb="FF183153"/>
      </x:left>
      <x:top style="thin">
        <x:color rgb="FFE3EAF0"/>
      </x:top>
      <x:bottom style="thin">
        <x:color rgb="FFE3EAF0"/>
      </x:bottom>
    </x:border>
    <x:border>
      <x:top style="thin">
        <x:color rgb="FFE3EAF0"/>
      </x:top>
      <x:bottom style="thin">
        <x:color rgb="FFE3EAF0"/>
      </x:bottom>
    </x:border>
    <x:border>
      <x:left style="thin">
        <x:color rgb="FF183153"/>
      </x:left>
      <x:top style="thin">
        <x:color rgb="FFE3EAF0"/>
      </x:top>
      <x:bottom style="thin">
        <x:color rgb="FFB7C9DA"/>
      </x:bottom>
    </x:border>
    <x:border>
      <x:top style="thin">
        <x:color rgb="FFE3EAF0"/>
      </x:top>
      <x:bottom style="thin">
        <x:color rgb="FFB7C9DA"/>
      </x:bottom>
    </x:border>
    <x:border>
      <x:left style="thin">
        <x:color rgb="FFB7C9DA"/>
      </x:left>
      <x:top style="thin">
        <x:color rgb="FFB7C9DA"/>
      </x:top>
      <x:bottom style="thin">
        <x:color rgb="FF183153"/>
      </x:bottom>
    </x:border>
    <x:border>
      <x:right style="thin">
        <x:color rgb="FFB7C9DA"/>
      </x:right>
      <x:top style="thin">
        <x:color rgb="FFB7C9DA"/>
      </x:top>
      <x:bottom style="thin">
        <x:color rgb="FF183153"/>
      </x:bottom>
    </x:border>
    <x:border>
      <x:left style="thin">
        <x:color rgb="FFB7C9DA"/>
      </x:left>
    </x:border>
    <x:border>
      <x:right style="thin">
        <x:color rgb="FFB7C9DA"/>
      </x:right>
    </x:border>
    <x:border>
      <x:left style="thin">
        <x:color rgb="FFB7C9DA"/>
      </x:left>
      <x:bottom style="thin">
        <x:color rgb="FFB7C9DA"/>
      </x:bottom>
    </x:border>
    <x:border>
      <x:right style="thin">
        <x:color rgb="FFB7C9DA"/>
      </x:right>
      <x:bottom style="thin">
        <x:color rgb="FFB7C9DA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200" fontId="2" fillId="0" borderId="6" xfId="0" applyNumberFormat="1" applyFont="1" applyFill="1" applyBorder="1" applyAlignment="1">
      <x:alignment horizontal="center"/>
    </x:xf>
    <x:xf numFmtId="0" fontId="2" fillId="0" borderId="7" xfId="0" applyNumberFormat="1" applyFont="1" applyFill="1" applyBorder="1" applyAlignment="1">
      <x:alignment horizontal="center"/>
    </x:xf>
    <x:xf numFmtId="200" fontId="2" fillId="0" borderId="7" xfId="0" applyNumberFormat="1" applyFont="1" applyFill="1" applyBorder="1" applyAlignment="1">
      <x:alignment horizontal="center"/>
    </x:xf>
    <x:xf numFmtId="0" fontId="2" fillId="0" borderId="7" xfId="0" applyNumberFormat="1" applyFont="1" applyFill="1" applyBorder="1" applyAlignment="1">
      <x:alignment wrapText="1"/>
    </x:xf>
    <x:xf numFmtId="200" fontId="2" fillId="0" borderId="8" xfId="0" applyNumberFormat="1" applyFont="1" applyFill="1" applyBorder="1" applyAlignment="1">
      <x:alignment horizontal="center"/>
    </x:xf>
    <x:xf numFmtId="0" fontId="2" fillId="0" borderId="9" xfId="0" applyNumberFormat="1" applyFont="1" applyFill="1" applyBorder="1" applyAlignment="1">
      <x:alignment horizontal="center"/>
    </x:xf>
    <x:xf numFmtId="200" fontId="2" fillId="0" borderId="9" xfId="0" applyNumberFormat="1" applyFont="1" applyFill="1" applyBorder="1" applyAlignment="1">
      <x:alignment horizontal="center"/>
    </x:xf>
    <x:xf numFmtId="0" fontId="2" fillId="0" borderId="9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201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0" fontId="2" fillId="0" borderId="6" xfId="0" applyNumberFormat="1" applyFont="1" applyFill="1" applyBorder="1" applyAlignment="1">
      <x:alignment horizontal="center"/>
    </x:xf>
    <x:xf numFmtId="201" fontId="2" fillId="0" borderId="7" xfId="0" applyNumberFormat="1" applyFont="1" applyFill="1" applyBorder="1" applyAlignment="1">
      <x:alignment horizontal="right"/>
    </x:xf>
    <x:xf numFmtId="0" fontId="2" fillId="0" borderId="8" xfId="0" applyNumberFormat="1" applyFont="1" applyFill="1" applyBorder="1" applyAlignment="1">
      <x:alignment horizontal="center"/>
    </x:xf>
    <x:xf numFmtId="201" fontId="2" fillId="0" borderId="9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202" fontId="2" fillId="0" borderId="0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/>
    <x:xf numFmtId="201" fontId="2" fillId="0" borderId="13" xfId="0" applyNumberFormat="1" applyFont="1" applyFill="1" applyBorder="1"/>
    <x:xf numFmtId="0" fontId="2" fillId="4" borderId="14" xfId="0" applyNumberFormat="1" applyFont="1" applyFill="1" applyBorder="1"/>
    <x:xf numFmtId="202" fontId="2" fillId="0" borderId="15" xfId="0" applyNumberFormat="1" applyFont="1" applyFill="1" applyBorder="1"/>
    <x:xf numFmtId="0" fontId="2" fillId="5" borderId="0" xfId="0" applyNumberFormat="1" applyFont="1" applyFill="1" applyBorder="1"/>
    <x:xf numFmtId="203" fontId="2" fillId="0" borderId="0" xfId="0" applyNumberFormat="1" applyFont="1" applyFill="1" applyBorder="1"/>
    <x:xf numFmtId="0" fontId="2" fillId="5" borderId="12" xfId="0" applyNumberFormat="1" applyFont="1" applyFill="1" applyBorder="1"/>
    <x:xf numFmtId="0" fontId="2" fillId="5" borderId="14" xfId="0" applyNumberFormat="1" applyFont="1" applyFill="1" applyBorder="1"/>
    <x:xf numFmtId="203" fontId="2" fillId="0" borderId="15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56dbcce004770" /><Relationship Type="http://schemas.openxmlformats.org/officeDocument/2006/relationships/theme" Target="/xl/theme/theme1.xml" Id="Ra42c033755fd42d1" /><Relationship Type="http://schemas.openxmlformats.org/officeDocument/2006/relationships/sharedStrings" Target="/xl/sharedStrings.xml" Id="R7627f219652c4cc7" /><Relationship Type="http://schemas.openxmlformats.org/officeDocument/2006/relationships/worksheet" Target="/xl/worksheets/sheet1.xml" Id="Rea937db18dff4c70" /><Relationship Type="http://schemas.openxmlformats.org/officeDocument/2006/relationships/worksheet" Target="/xl/worksheets/sheet2.xml" Id="R70a7f8cd96544605" /><Relationship Type="http://schemas.openxmlformats.org/officeDocument/2006/relationships/worksheet" Target="/xl/worksheets/sheet3.xml" Id="R76a40f0f544148af" /><Relationship Type="http://schemas.openxmlformats.org/officeDocument/2006/relationships/worksheet" Target="/xl/worksheets/sheet4.xml" Id="R5a15c655772b486e" /><Relationship Type="http://schemas.microsoft.com/office/2017/10/relationships/person" Target="/xl/persons/person.xml" Id="R4c06ee87645247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f535106e9043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2402e0682f6246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Mean ADC decreases as added water increases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Mean ADC reading</c:v>
          </c:tx>
          <c:spPr>
            <a:solidFill xmlns:a="http://schemas.openxmlformats.org/drawingml/2006/main">
              <a:srgbClr val="2E75B6"/>
            </a:solidFill>
          </c:spPr>
          <c:marker>
            <c:symbol val="none"/>
          </c:marker>
          <c:cat>
            <c:strRef>
              <c:f>'Condition Summary'!$A$4:$A$8</c:f>
              <c:strCache>
                <c:ptCount val="0"/>
              </c:strCache>
            </c:strRef>
          </c:cat>
          <c:val>
            <c:numRef>
              <c:f>'Condition Summary'!$C$4:$C$8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Added water (g)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ax val="40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Mean ADC reading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f535106e9043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2</xdr:row>
      <xdr:rowOff>0</xdr:rowOff>
    </xdr:from>
    <xdr:ext cx="4953000" cy="3714750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02e0682f6246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Chan Yunchen" id="{7820CD47-7563-40B0-92C0-20A2455CA005}"/>
</xltc:personList>
</file>

<file path=xl/tables/table1.xml><?xml version="1.0" encoding="utf-8"?>
<x:table xmlns:x="http://schemas.openxmlformats.org/spreadsheetml/2006/main" id="1" name="RawMeasurementsTable" displayName="RawMeasurementsTable" ref="A1:I56" headerRowCount="1" totalsRowCount="0" totalsRowShown="0">
  <x:tableColumns count="9">
    <x:tableColumn id="1" name="experiment_round"/>
    <x:tableColumn id="2" name="sample_id"/>
    <x:tableColumn id="3" name="water_added_g"/>
    <x:tableColumn id="4" name="reading_number"/>
    <x:tableColumn id="5" name="adc_reading"/>
    <x:tableColumn id="6" name="threshold_adc"/>
    <x:tableColumn id="7" name="system_decision"/>
    <x:tableColumn id="8" name="validity"/>
    <x:tableColumn id="9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0714a88fad4f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2f025d16a0e42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bfe3c7fd12e043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5" hidden="0" customWidth="1"/>
    <x:col min="8" max="8" width="20" hidden="0" customWidth="1"/>
    <x:col min="9" max="9" width="45" hidden="0" customWidth="1"/>
  </x:cols>
  <x:sheetData>
    <x:row r="1">
      <x:c r="A1" s="14" t="str">
        <x:v>experiment_round</x:v>
      </x:c>
      <x:c r="B1" s="15" t="str">
        <x:v>sample_id</x:v>
      </x:c>
      <x:c r="C1" s="15" t="str">
        <x:v>water_added_g</x:v>
      </x:c>
      <x:c r="D1" s="15" t="str">
        <x:v>reading_number</x:v>
      </x:c>
      <x:c r="E1" s="15" t="str">
        <x:v>adc_reading</x:v>
      </x:c>
      <x:c r="F1" s="15" t="str">
        <x:v>threshold_adc</x:v>
      </x:c>
      <x:c r="G1" s="15" t="str">
        <x:v>system_decision</x:v>
      </x:c>
      <x:c r="H1" s="15" t="str">
        <x:v>validity</x:v>
      </x:c>
      <x:c r="I1" s="15" t="str">
        <x:v>note</x:v>
      </x:c>
    </x:row>
    <x:row r="2">
      <x:c r="A2" s="16" t="n">
        <x:v>1</x:v>
      </x:c>
      <x:c r="B2" s="17" t="str">
        <x:v>R1-0g</x:v>
      </x:c>
      <x:c r="C2" s="18" t="n">
        <x:v>0</x:v>
      </x:c>
      <x:c r="D2" s="18" t="n">
        <x:v>1</x:v>
      </x:c>
      <x:c r="E2" s="18" t="n">
        <x:v>3057</x:v>
      </x:c>
      <x:c r="F2" s="18" t="n">
        <x:v>2200</x:v>
      </x:c>
      <x:c r="G2" s="17" t="str">
        <x:v>Pump ON</x:v>
      </x:c>
      <x:c r="H2" s="17" t="str">
        <x:v>Valid formal reading</x:v>
      </x:c>
      <x:c r="I2" s="19" t="str">
        <x:v>Initial pilot sample</x:v>
      </x:c>
    </x:row>
    <x:row r="3">
      <x:c r="A3" s="16" t="n">
        <x:v>1</x:v>
      </x:c>
      <x:c r="B3" s="17" t="str">
        <x:v>R1-0g</x:v>
      </x:c>
      <x:c r="C3" s="18" t="n">
        <x:v>0</x:v>
      </x:c>
      <x:c r="D3" s="18" t="n">
        <x:v>2</x:v>
      </x:c>
      <x:c r="E3" s="18" t="n">
        <x:v>3620</x:v>
      </x:c>
      <x:c r="F3" s="18" t="n">
        <x:v>2200</x:v>
      </x:c>
      <x:c r="G3" s="17" t="str">
        <x:v>Pump ON</x:v>
      </x:c>
      <x:c r="H3" s="17" t="str">
        <x:v>Valid formal reading</x:v>
      </x:c>
      <x:c r="I3" s="19" t="str">
        <x:v>Initial pilot sample</x:v>
      </x:c>
    </x:row>
    <x:row r="4">
      <x:c r="A4" s="16" t="n">
        <x:v>1</x:v>
      </x:c>
      <x:c r="B4" s="17" t="str">
        <x:v>R1-0g</x:v>
      </x:c>
      <x:c r="C4" s="18" t="n">
        <x:v>0</x:v>
      </x:c>
      <x:c r="D4" s="18" t="n">
        <x:v>3</x:v>
      </x:c>
      <x:c r="E4" s="18" t="n">
        <x:v>3220</x:v>
      </x:c>
      <x:c r="F4" s="18" t="n">
        <x:v>2200</x:v>
      </x:c>
      <x:c r="G4" s="17" t="str">
        <x:v>Pump ON</x:v>
      </x:c>
      <x:c r="H4" s="17" t="str">
        <x:v>Valid formal reading</x:v>
      </x:c>
      <x:c r="I4" s="19" t="str">
        <x:v>Initial pilot sample</x:v>
      </x:c>
    </x:row>
    <x:row r="5">
      <x:c r="A5" s="16" t="n">
        <x:v>1</x:v>
      </x:c>
      <x:c r="B5" s="17" t="str">
        <x:v>R1-0g</x:v>
      </x:c>
      <x:c r="C5" s="18" t="n">
        <x:v>0</x:v>
      </x:c>
      <x:c r="D5" s="18" t="n">
        <x:v>4</x:v>
      </x:c>
      <x:c r="E5" s="18" t="n">
        <x:v>3393</x:v>
      </x:c>
      <x:c r="F5" s="18" t="n">
        <x:v>2200</x:v>
      </x:c>
      <x:c r="G5" s="17" t="str">
        <x:v>Pump ON</x:v>
      </x:c>
      <x:c r="H5" s="17" t="str">
        <x:v>Valid formal reading</x:v>
      </x:c>
      <x:c r="I5" s="19" t="str">
        <x:v>Initial pilot sample</x:v>
      </x:c>
    </x:row>
    <x:row r="6">
      <x:c r="A6" s="16" t="n">
        <x:v>1</x:v>
      </x:c>
      <x:c r="B6" s="17" t="str">
        <x:v>R1-0g</x:v>
      </x:c>
      <x:c r="C6" s="18" t="n">
        <x:v>0</x:v>
      </x:c>
      <x:c r="D6" s="18" t="n">
        <x:v>5</x:v>
      </x:c>
      <x:c r="E6" s="18" t="n">
        <x:v>3079</x:v>
      </x:c>
      <x:c r="F6" s="18" t="n">
        <x:v>2200</x:v>
      </x:c>
      <x:c r="G6" s="17" t="str">
        <x:v>Pump ON</x:v>
      </x:c>
      <x:c r="H6" s="17" t="str">
        <x:v>Valid formal reading</x:v>
      </x:c>
      <x:c r="I6" s="19" t="str">
        <x:v>Initial pilot sample</x:v>
      </x:c>
    </x:row>
    <x:row r="7">
      <x:c r="A7" s="16" t="n">
        <x:v>1</x:v>
      </x:c>
      <x:c r="B7" s="17" t="str">
        <x:v>R1-20g</x:v>
      </x:c>
      <x:c r="C7" s="18" t="n">
        <x:v>20</x:v>
      </x:c>
      <x:c r="D7" s="18" t="n">
        <x:v>1</x:v>
      </x:c>
      <x:c r="E7" s="18" t="n">
        <x:v>1890</x:v>
      </x:c>
      <x:c r="F7" s="18" t="n">
        <x:v>2200</x:v>
      </x:c>
      <x:c r="G7" s="17" t="str">
        <x:v>Pump OFF</x:v>
      </x:c>
      <x:c r="H7" s="17" t="str">
        <x:v>Valid formal reading</x:v>
      </x:c>
      <x:c r="I7" s="19" t="str">
        <x:v>Initial pilot sample</x:v>
      </x:c>
    </x:row>
    <x:row r="8">
      <x:c r="A8" s="16" t="n">
        <x:v>1</x:v>
      </x:c>
      <x:c r="B8" s="17" t="str">
        <x:v>R1-20g</x:v>
      </x:c>
      <x:c r="C8" s="18" t="n">
        <x:v>20</x:v>
      </x:c>
      <x:c r="D8" s="18" t="n">
        <x:v>2</x:v>
      </x:c>
      <x:c r="E8" s="18" t="n">
        <x:v>1904</x:v>
      </x:c>
      <x:c r="F8" s="18" t="n">
        <x:v>2200</x:v>
      </x:c>
      <x:c r="G8" s="17" t="str">
        <x:v>Pump OFF</x:v>
      </x:c>
      <x:c r="H8" s="17" t="str">
        <x:v>Valid formal reading</x:v>
      </x:c>
      <x:c r="I8" s="19" t="str">
        <x:v>Initial pilot sample</x:v>
      </x:c>
    </x:row>
    <x:row r="9">
      <x:c r="A9" s="16" t="n">
        <x:v>1</x:v>
      </x:c>
      <x:c r="B9" s="17" t="str">
        <x:v>R1-20g</x:v>
      </x:c>
      <x:c r="C9" s="18" t="n">
        <x:v>20</x:v>
      </x:c>
      <x:c r="D9" s="18" t="n">
        <x:v>3</x:v>
      </x:c>
      <x:c r="E9" s="18" t="n">
        <x:v>1923</x:v>
      </x:c>
      <x:c r="F9" s="18" t="n">
        <x:v>2200</x:v>
      </x:c>
      <x:c r="G9" s="17" t="str">
        <x:v>Pump OFF</x:v>
      </x:c>
      <x:c r="H9" s="17" t="str">
        <x:v>Valid formal reading</x:v>
      </x:c>
      <x:c r="I9" s="19" t="str">
        <x:v>Initial pilot sample</x:v>
      </x:c>
    </x:row>
    <x:row r="10">
      <x:c r="A10" s="16" t="n">
        <x:v>1</x:v>
      </x:c>
      <x:c r="B10" s="17" t="str">
        <x:v>R1-20g</x:v>
      </x:c>
      <x:c r="C10" s="18" t="n">
        <x:v>20</x:v>
      </x:c>
      <x:c r="D10" s="18" t="n">
        <x:v>4</x:v>
      </x:c>
      <x:c r="E10" s="18" t="n">
        <x:v>1825</x:v>
      </x:c>
      <x:c r="F10" s="18" t="n">
        <x:v>2200</x:v>
      </x:c>
      <x:c r="G10" s="17" t="str">
        <x:v>Pump OFF</x:v>
      </x:c>
      <x:c r="H10" s="17" t="str">
        <x:v>Valid formal reading</x:v>
      </x:c>
      <x:c r="I10" s="19" t="str">
        <x:v>Initial pilot sample</x:v>
      </x:c>
    </x:row>
    <x:row r="11">
      <x:c r="A11" s="16" t="n">
        <x:v>1</x:v>
      </x:c>
      <x:c r="B11" s="17" t="str">
        <x:v>R1-20g</x:v>
      </x:c>
      <x:c r="C11" s="18" t="n">
        <x:v>20</x:v>
      </x:c>
      <x:c r="D11" s="18" t="n">
        <x:v>5</x:v>
      </x:c>
      <x:c r="E11" s="18" t="n">
        <x:v>1806</x:v>
      </x:c>
      <x:c r="F11" s="18" t="n">
        <x:v>2200</x:v>
      </x:c>
      <x:c r="G11" s="17" t="str">
        <x:v>Pump OFF</x:v>
      </x:c>
      <x:c r="H11" s="17" t="str">
        <x:v>Valid formal reading</x:v>
      </x:c>
      <x:c r="I11" s="19" t="str">
        <x:v>Initial pilot sample</x:v>
      </x:c>
    </x:row>
    <x:row r="12">
      <x:c r="A12" s="16" t="n">
        <x:v>1</x:v>
      </x:c>
      <x:c r="B12" s="17" t="str">
        <x:v>R1-40g</x:v>
      </x:c>
      <x:c r="C12" s="18" t="n">
        <x:v>40</x:v>
      </x:c>
      <x:c r="D12" s="18" t="n">
        <x:v>1</x:v>
      </x:c>
      <x:c r="E12" s="18" t="n">
        <x:v>1102</x:v>
      </x:c>
      <x:c r="F12" s="18" t="n">
        <x:v>2200</x:v>
      </x:c>
      <x:c r="G12" s="17" t="str">
        <x:v>Pump OFF</x:v>
      </x:c>
      <x:c r="H12" s="17" t="str">
        <x:v>Valid formal reading</x:v>
      </x:c>
      <x:c r="I12" s="19" t="str">
        <x:v>Initial pilot sample</x:v>
      </x:c>
    </x:row>
    <x:row r="13">
      <x:c r="A13" s="16" t="n">
        <x:v>1</x:v>
      </x:c>
      <x:c r="B13" s="17" t="str">
        <x:v>R1-40g</x:v>
      </x:c>
      <x:c r="C13" s="18" t="n">
        <x:v>40</x:v>
      </x:c>
      <x:c r="D13" s="18" t="n">
        <x:v>2</x:v>
      </x:c>
      <x:c r="E13" s="18" t="n">
        <x:v>1037</x:v>
      </x:c>
      <x:c r="F13" s="18" t="n">
        <x:v>2200</x:v>
      </x:c>
      <x:c r="G13" s="17" t="str">
        <x:v>Pump OFF</x:v>
      </x:c>
      <x:c r="H13" s="17" t="str">
        <x:v>Valid formal reading</x:v>
      </x:c>
      <x:c r="I13" s="19" t="str">
        <x:v>Initial pilot sample</x:v>
      </x:c>
    </x:row>
    <x:row r="14">
      <x:c r="A14" s="16" t="n">
        <x:v>1</x:v>
      </x:c>
      <x:c r="B14" s="17" t="str">
        <x:v>R1-40g</x:v>
      </x:c>
      <x:c r="C14" s="18" t="n">
        <x:v>40</x:v>
      </x:c>
      <x:c r="D14" s="18" t="n">
        <x:v>3</x:v>
      </x:c>
      <x:c r="E14" s="18" t="n">
        <x:v>1208</x:v>
      </x:c>
      <x:c r="F14" s="18" t="n">
        <x:v>2200</x:v>
      </x:c>
      <x:c r="G14" s="17" t="str">
        <x:v>Pump OFF</x:v>
      </x:c>
      <x:c r="H14" s="17" t="str">
        <x:v>Valid formal reading</x:v>
      </x:c>
      <x:c r="I14" s="19" t="str">
        <x:v>Initial pilot sample</x:v>
      </x:c>
    </x:row>
    <x:row r="15">
      <x:c r="A15" s="16" t="n">
        <x:v>1</x:v>
      </x:c>
      <x:c r="B15" s="17" t="str">
        <x:v>R1-40g</x:v>
      </x:c>
      <x:c r="C15" s="18" t="n">
        <x:v>40</x:v>
      </x:c>
      <x:c r="D15" s="18" t="n">
        <x:v>4</x:v>
      </x:c>
      <x:c r="E15" s="18" t="n">
        <x:v>1179</x:v>
      </x:c>
      <x:c r="F15" s="18" t="n">
        <x:v>2200</x:v>
      </x:c>
      <x:c r="G15" s="17" t="str">
        <x:v>Pump OFF</x:v>
      </x:c>
      <x:c r="H15" s="17" t="str">
        <x:v>Valid formal reading</x:v>
      </x:c>
      <x:c r="I15" s="19" t="str">
        <x:v>Initial pilot sample</x:v>
      </x:c>
    </x:row>
    <x:row r="16">
      <x:c r="A16" s="16" t="n">
        <x:v>1</x:v>
      </x:c>
      <x:c r="B16" s="17" t="str">
        <x:v>R1-40g</x:v>
      </x:c>
      <x:c r="C16" s="18" t="n">
        <x:v>40</x:v>
      </x:c>
      <x:c r="D16" s="18" t="n">
        <x:v>5</x:v>
      </x:c>
      <x:c r="E16" s="18" t="n">
        <x:v>1089</x:v>
      </x:c>
      <x:c r="F16" s="18" t="n">
        <x:v>2200</x:v>
      </x:c>
      <x:c r="G16" s="17" t="str">
        <x:v>Pump OFF</x:v>
      </x:c>
      <x:c r="H16" s="17" t="str">
        <x:v>Valid formal reading</x:v>
      </x:c>
      <x:c r="I16" s="19" t="str">
        <x:v>Initial pilot sample</x:v>
      </x:c>
    </x:row>
    <x:row r="17">
      <x:c r="A17" s="16" t="n">
        <x:v>2</x:v>
      </x:c>
      <x:c r="B17" s="17" t="str">
        <x:v>R2-0g</x:v>
      </x:c>
      <x:c r="C17" s="18" t="n">
        <x:v>0</x:v>
      </x:c>
      <x:c r="D17" s="18" t="n">
        <x:v>1</x:v>
      </x:c>
      <x:c r="E17" s="18" t="n">
        <x:v>3275</x:v>
      </x:c>
      <x:c r="F17" s="18" t="n">
        <x:v>2200</x:v>
      </x:c>
      <x:c r="G17" s="17" t="str">
        <x:v>Pump ON</x:v>
      </x:c>
      <x:c r="H17" s="17" t="str">
        <x:v>Valid formal reading</x:v>
      </x:c>
      <x:c r="I17" s="19" t="str">
        <x:v>Expanded calibration sample</x:v>
      </x:c>
    </x:row>
    <x:row r="18">
      <x:c r="A18" s="16" t="n">
        <x:v>2</x:v>
      </x:c>
      <x:c r="B18" s="17" t="str">
        <x:v>R2-0g</x:v>
      </x:c>
      <x:c r="C18" s="18" t="n">
        <x:v>0</x:v>
      </x:c>
      <x:c r="D18" s="18" t="n">
        <x:v>2</x:v>
      </x:c>
      <x:c r="E18" s="18" t="n">
        <x:v>3329</x:v>
      </x:c>
      <x:c r="F18" s="18" t="n">
        <x:v>2200</x:v>
      </x:c>
      <x:c r="G18" s="17" t="str">
        <x:v>Pump ON</x:v>
      </x:c>
      <x:c r="H18" s="17" t="str">
        <x:v>Valid formal reading</x:v>
      </x:c>
      <x:c r="I18" s="19" t="str">
        <x:v>Expanded calibration sample</x:v>
      </x:c>
    </x:row>
    <x:row r="19">
      <x:c r="A19" s="16" t="n">
        <x:v>2</x:v>
      </x:c>
      <x:c r="B19" s="17" t="str">
        <x:v>R2-0g</x:v>
      </x:c>
      <x:c r="C19" s="18" t="n">
        <x:v>0</x:v>
      </x:c>
      <x:c r="D19" s="18" t="n">
        <x:v>3</x:v>
      </x:c>
      <x:c r="E19" s="18" t="n">
        <x:v>3078</x:v>
      </x:c>
      <x:c r="F19" s="18" t="n">
        <x:v>2200</x:v>
      </x:c>
      <x:c r="G19" s="17" t="str">
        <x:v>Pump ON</x:v>
      </x:c>
      <x:c r="H19" s="17" t="str">
        <x:v>Valid formal reading</x:v>
      </x:c>
      <x:c r="I19" s="19" t="str">
        <x:v>Expanded calibration sample</x:v>
      </x:c>
    </x:row>
    <x:row r="20">
      <x:c r="A20" s="16" t="n">
        <x:v>2</x:v>
      </x:c>
      <x:c r="B20" s="17" t="str">
        <x:v>R2-0g</x:v>
      </x:c>
      <x:c r="C20" s="18" t="n">
        <x:v>0</x:v>
      </x:c>
      <x:c r="D20" s="18" t="n">
        <x:v>4</x:v>
      </x:c>
      <x:c r="E20" s="18" t="n">
        <x:v>2997</x:v>
      </x:c>
      <x:c r="F20" s="18" t="n">
        <x:v>2200</x:v>
      </x:c>
      <x:c r="G20" s="17" t="str">
        <x:v>Pump ON</x:v>
      </x:c>
      <x:c r="H20" s="17" t="str">
        <x:v>Valid formal reading</x:v>
      </x:c>
      <x:c r="I20" s="19" t="str">
        <x:v>Expanded calibration sample</x:v>
      </x:c>
    </x:row>
    <x:row r="21">
      <x:c r="A21" s="16" t="n">
        <x:v>2</x:v>
      </x:c>
      <x:c r="B21" s="17" t="str">
        <x:v>R2-0g</x:v>
      </x:c>
      <x:c r="C21" s="18" t="n">
        <x:v>0</x:v>
      </x:c>
      <x:c r="D21" s="18" t="n">
        <x:v>5</x:v>
      </x:c>
      <x:c r="E21" s="18" t="n">
        <x:v>3402</x:v>
      </x:c>
      <x:c r="F21" s="18" t="n">
        <x:v>2200</x:v>
      </x:c>
      <x:c r="G21" s="17" t="str">
        <x:v>Pump ON</x:v>
      </x:c>
      <x:c r="H21" s="17" t="str">
        <x:v>Valid formal reading</x:v>
      </x:c>
      <x:c r="I21" s="19" t="str">
        <x:v>Expanded calibration sample</x:v>
      </x:c>
    </x:row>
    <x:row r="22">
      <x:c r="A22" s="16" t="n">
        <x:v>2</x:v>
      </x:c>
      <x:c r="B22" s="17" t="str">
        <x:v>R2-10g</x:v>
      </x:c>
      <x:c r="C22" s="18" t="n">
        <x:v>10</x:v>
      </x:c>
      <x:c r="D22" s="18" t="n">
        <x:v>1</x:v>
      </x:c>
      <x:c r="E22" s="18" t="n">
        <x:v>2483</x:v>
      </x:c>
      <x:c r="F22" s="18" t="n">
        <x:v>2200</x:v>
      </x:c>
      <x:c r="G22" s="17" t="str">
        <x:v>Pump ON</x:v>
      </x:c>
      <x:c r="H22" s="17" t="str">
        <x:v>Valid formal reading</x:v>
      </x:c>
      <x:c r="I22" s="19" t="str">
        <x:v>Exploratory intermediate level</x:v>
      </x:c>
    </x:row>
    <x:row r="23">
      <x:c r="A23" s="16" t="n">
        <x:v>2</x:v>
      </x:c>
      <x:c r="B23" s="17" t="str">
        <x:v>R2-10g</x:v>
      </x:c>
      <x:c r="C23" s="18" t="n">
        <x:v>10</x:v>
      </x:c>
      <x:c r="D23" s="18" t="n">
        <x:v>2</x:v>
      </x:c>
      <x:c r="E23" s="18" t="n">
        <x:v>2496</x:v>
      </x:c>
      <x:c r="F23" s="18" t="n">
        <x:v>2200</x:v>
      </x:c>
      <x:c r="G23" s="17" t="str">
        <x:v>Pump ON</x:v>
      </x:c>
      <x:c r="H23" s="17" t="str">
        <x:v>Valid formal reading</x:v>
      </x:c>
      <x:c r="I23" s="19" t="str">
        <x:v>Exploratory intermediate level</x:v>
      </x:c>
    </x:row>
    <x:row r="24">
      <x:c r="A24" s="16" t="n">
        <x:v>2</x:v>
      </x:c>
      <x:c r="B24" s="17" t="str">
        <x:v>R2-10g</x:v>
      </x:c>
      <x:c r="C24" s="18" t="n">
        <x:v>10</x:v>
      </x:c>
      <x:c r="D24" s="18" t="n">
        <x:v>3</x:v>
      </x:c>
      <x:c r="E24" s="18" t="n">
        <x:v>2052</x:v>
      </x:c>
      <x:c r="F24" s="18" t="n">
        <x:v>2200</x:v>
      </x:c>
      <x:c r="G24" s="17" t="str">
        <x:v>Pump OFF</x:v>
      </x:c>
      <x:c r="H24" s="17" t="str">
        <x:v>Valid formal reading</x:v>
      </x:c>
      <x:c r="I24" s="19" t="str">
        <x:v>Exploratory intermediate level</x:v>
      </x:c>
    </x:row>
    <x:row r="25">
      <x:c r="A25" s="16" t="n">
        <x:v>2</x:v>
      </x:c>
      <x:c r="B25" s="17" t="str">
        <x:v>R2-10g</x:v>
      </x:c>
      <x:c r="C25" s="18" t="n">
        <x:v>10</x:v>
      </x:c>
      <x:c r="D25" s="18" t="n">
        <x:v>4</x:v>
      </x:c>
      <x:c r="E25" s="18" t="n">
        <x:v>2600</x:v>
      </x:c>
      <x:c r="F25" s="18" t="n">
        <x:v>2200</x:v>
      </x:c>
      <x:c r="G25" s="17" t="str">
        <x:v>Pump ON</x:v>
      </x:c>
      <x:c r="H25" s="17" t="str">
        <x:v>Valid formal reading</x:v>
      </x:c>
      <x:c r="I25" s="19" t="str">
        <x:v>Exploratory intermediate level</x:v>
      </x:c>
    </x:row>
    <x:row r="26">
      <x:c r="A26" s="16" t="n">
        <x:v>2</x:v>
      </x:c>
      <x:c r="B26" s="17" t="str">
        <x:v>R2-10g</x:v>
      </x:c>
      <x:c r="C26" s="18" t="n">
        <x:v>10</x:v>
      </x:c>
      <x:c r="D26" s="18" t="n">
        <x:v>5</x:v>
      </x:c>
      <x:c r="E26" s="18" t="n">
        <x:v>2537</x:v>
      </x:c>
      <x:c r="F26" s="18" t="n">
        <x:v>2200</x:v>
      </x:c>
      <x:c r="G26" s="17" t="str">
        <x:v>Pump ON</x:v>
      </x:c>
      <x:c r="H26" s="17" t="str">
        <x:v>Valid formal reading</x:v>
      </x:c>
      <x:c r="I26" s="19" t="str">
        <x:v>Exploratory intermediate level</x:v>
      </x:c>
    </x:row>
    <x:row r="27">
      <x:c r="A27" s="16" t="n">
        <x:v>2</x:v>
      </x:c>
      <x:c r="B27" s="17" t="str">
        <x:v>R2-20g</x:v>
      </x:c>
      <x:c r="C27" s="18" t="n">
        <x:v>20</x:v>
      </x:c>
      <x:c r="D27" s="18" t="n">
        <x:v>1</x:v>
      </x:c>
      <x:c r="E27" s="18" t="n">
        <x:v>1872</x:v>
      </x:c>
      <x:c r="F27" s="18" t="n">
        <x:v>2200</x:v>
      </x:c>
      <x:c r="G27" s="17" t="str">
        <x:v>Pump OFF</x:v>
      </x:c>
      <x:c r="H27" s="17" t="str">
        <x:v>Valid formal reading</x:v>
      </x:c>
      <x:c r="I27" s="19" t="str">
        <x:v>Expanded calibration sample</x:v>
      </x:c>
    </x:row>
    <x:row r="28">
      <x:c r="A28" s="16" t="n">
        <x:v>2</x:v>
      </x:c>
      <x:c r="B28" s="17" t="str">
        <x:v>R2-20g</x:v>
      </x:c>
      <x:c r="C28" s="18" t="n">
        <x:v>20</x:v>
      </x:c>
      <x:c r="D28" s="18" t="n">
        <x:v>2</x:v>
      </x:c>
      <x:c r="E28" s="18" t="n">
        <x:v>1928</x:v>
      </x:c>
      <x:c r="F28" s="18" t="n">
        <x:v>2200</x:v>
      </x:c>
      <x:c r="G28" s="17" t="str">
        <x:v>Pump OFF</x:v>
      </x:c>
      <x:c r="H28" s="17" t="str">
        <x:v>Valid formal reading</x:v>
      </x:c>
      <x:c r="I28" s="19" t="str">
        <x:v>Expanded calibration sample</x:v>
      </x:c>
    </x:row>
    <x:row r="29">
      <x:c r="A29" s="16" t="n">
        <x:v>2</x:v>
      </x:c>
      <x:c r="B29" s="17" t="str">
        <x:v>R2-20g</x:v>
      </x:c>
      <x:c r="C29" s="18" t="n">
        <x:v>20</x:v>
      </x:c>
      <x:c r="D29" s="18" t="n">
        <x:v>3</x:v>
      </x:c>
      <x:c r="E29" s="18" t="n">
        <x:v>1936</x:v>
      </x:c>
      <x:c r="F29" s="18" t="n">
        <x:v>2200</x:v>
      </x:c>
      <x:c r="G29" s="17" t="str">
        <x:v>Pump OFF</x:v>
      </x:c>
      <x:c r="H29" s="17" t="str">
        <x:v>Valid formal reading</x:v>
      </x:c>
      <x:c r="I29" s="19" t="str">
        <x:v>Expanded calibration sample</x:v>
      </x:c>
    </x:row>
    <x:row r="30">
      <x:c r="A30" s="16" t="n">
        <x:v>2</x:v>
      </x:c>
      <x:c r="B30" s="17" t="str">
        <x:v>R2-20g</x:v>
      </x:c>
      <x:c r="C30" s="18" t="n">
        <x:v>20</x:v>
      </x:c>
      <x:c r="D30" s="18" t="n">
        <x:v>4</x:v>
      </x:c>
      <x:c r="E30" s="18" t="n">
        <x:v>1706</x:v>
      </x:c>
      <x:c r="F30" s="18" t="n">
        <x:v>2200</x:v>
      </x:c>
      <x:c r="G30" s="17" t="str">
        <x:v>Pump OFF</x:v>
      </x:c>
      <x:c r="H30" s="17" t="str">
        <x:v>Valid formal reading</x:v>
      </x:c>
      <x:c r="I30" s="19" t="str">
        <x:v>Expanded calibration sample</x:v>
      </x:c>
    </x:row>
    <x:row r="31">
      <x:c r="A31" s="16" t="n">
        <x:v>2</x:v>
      </x:c>
      <x:c r="B31" s="17" t="str">
        <x:v>R2-20g</x:v>
      </x:c>
      <x:c r="C31" s="18" t="n">
        <x:v>20</x:v>
      </x:c>
      <x:c r="D31" s="18" t="n">
        <x:v>5</x:v>
      </x:c>
      <x:c r="E31" s="18" t="n">
        <x:v>1753</x:v>
      </x:c>
      <x:c r="F31" s="18" t="n">
        <x:v>2200</x:v>
      </x:c>
      <x:c r="G31" s="17" t="str">
        <x:v>Pump OFF</x:v>
      </x:c>
      <x:c r="H31" s="17" t="str">
        <x:v>Valid formal reading</x:v>
      </x:c>
      <x:c r="I31" s="19" t="str">
        <x:v>Expanded calibration sample</x:v>
      </x:c>
    </x:row>
    <x:row r="32">
      <x:c r="A32" s="16" t="n">
        <x:v>2</x:v>
      </x:c>
      <x:c r="B32" s="17" t="str">
        <x:v>R2-30g</x:v>
      </x:c>
      <x:c r="C32" s="18" t="n">
        <x:v>30</x:v>
      </x:c>
      <x:c r="D32" s="18" t="n">
        <x:v>1</x:v>
      </x:c>
      <x:c r="E32" s="18" t="n">
        <x:v>1243</x:v>
      </x:c>
      <x:c r="F32" s="18" t="n">
        <x:v>2200</x:v>
      </x:c>
      <x:c r="G32" s="17" t="str">
        <x:v>Pump OFF</x:v>
      </x:c>
      <x:c r="H32" s="17" t="str">
        <x:v>Valid formal reading</x:v>
      </x:c>
      <x:c r="I32" s="19" t="str">
        <x:v>Prediction-validation level; all five values measured</x:v>
      </x:c>
    </x:row>
    <x:row r="33">
      <x:c r="A33" s="16" t="n">
        <x:v>2</x:v>
      </x:c>
      <x:c r="B33" s="17" t="str">
        <x:v>R2-30g</x:v>
      </x:c>
      <x:c r="C33" s="18" t="n">
        <x:v>30</x:v>
      </x:c>
      <x:c r="D33" s="18" t="n">
        <x:v>2</x:v>
      </x:c>
      <x:c r="E33" s="18" t="n">
        <x:v>1423</x:v>
      </x:c>
      <x:c r="F33" s="18" t="n">
        <x:v>2200</x:v>
      </x:c>
      <x:c r="G33" s="17" t="str">
        <x:v>Pump OFF</x:v>
      </x:c>
      <x:c r="H33" s="17" t="str">
        <x:v>Valid formal reading</x:v>
      </x:c>
      <x:c r="I33" s="19" t="str">
        <x:v>Prediction-validation level; all five values measured</x:v>
      </x:c>
    </x:row>
    <x:row r="34">
      <x:c r="A34" s="16" t="n">
        <x:v>2</x:v>
      </x:c>
      <x:c r="B34" s="17" t="str">
        <x:v>R2-30g</x:v>
      </x:c>
      <x:c r="C34" s="18" t="n">
        <x:v>30</x:v>
      </x:c>
      <x:c r="D34" s="18" t="n">
        <x:v>3</x:v>
      </x:c>
      <x:c r="E34" s="18" t="n">
        <x:v>1496</x:v>
      </x:c>
      <x:c r="F34" s="18" t="n">
        <x:v>2200</x:v>
      </x:c>
      <x:c r="G34" s="17" t="str">
        <x:v>Pump OFF</x:v>
      </x:c>
      <x:c r="H34" s="17" t="str">
        <x:v>Valid formal reading</x:v>
      </x:c>
      <x:c r="I34" s="19" t="str">
        <x:v>Prediction-validation level; all five values measured</x:v>
      </x:c>
    </x:row>
    <x:row r="35">
      <x:c r="A35" s="16" t="n">
        <x:v>2</x:v>
      </x:c>
      <x:c r="B35" s="17" t="str">
        <x:v>R2-30g</x:v>
      </x:c>
      <x:c r="C35" s="18" t="n">
        <x:v>30</x:v>
      </x:c>
      <x:c r="D35" s="18" t="n">
        <x:v>4</x:v>
      </x:c>
      <x:c r="E35" s="18" t="n">
        <x:v>1503</x:v>
      </x:c>
      <x:c r="F35" s="18" t="n">
        <x:v>2200</x:v>
      </x:c>
      <x:c r="G35" s="17" t="str">
        <x:v>Pump OFF</x:v>
      </x:c>
      <x:c r="H35" s="17" t="str">
        <x:v>Valid formal reading</x:v>
      </x:c>
      <x:c r="I35" s="19" t="str">
        <x:v>Prediction-validation level; all five values measured</x:v>
      </x:c>
    </x:row>
    <x:row r="36">
      <x:c r="A36" s="16" t="n">
        <x:v>2</x:v>
      </x:c>
      <x:c r="B36" s="17" t="str">
        <x:v>R2-30g</x:v>
      </x:c>
      <x:c r="C36" s="18" t="n">
        <x:v>30</x:v>
      </x:c>
      <x:c r="D36" s="18" t="n">
        <x:v>5</x:v>
      </x:c>
      <x:c r="E36" s="18" t="n">
        <x:v>1322</x:v>
      </x:c>
      <x:c r="F36" s="18" t="n">
        <x:v>2200</x:v>
      </x:c>
      <x:c r="G36" s="17" t="str">
        <x:v>Pump OFF</x:v>
      </x:c>
      <x:c r="H36" s="17" t="str">
        <x:v>Valid formal reading</x:v>
      </x:c>
      <x:c r="I36" s="19" t="str">
        <x:v>Prediction-validation level; all five values measured</x:v>
      </x:c>
    </x:row>
    <x:row r="37">
      <x:c r="A37" s="16" t="n">
        <x:v>2</x:v>
      </x:c>
      <x:c r="B37" s="17" t="str">
        <x:v>R2-40g</x:v>
      </x:c>
      <x:c r="C37" s="18" t="n">
        <x:v>40</x:v>
      </x:c>
      <x:c r="D37" s="18" t="n">
        <x:v>1</x:v>
      </x:c>
      <x:c r="E37" s="18" t="n">
        <x:v>1075</x:v>
      </x:c>
      <x:c r="F37" s="18" t="n">
        <x:v>2200</x:v>
      </x:c>
      <x:c r="G37" s="17" t="str">
        <x:v>Pump OFF</x:v>
      </x:c>
      <x:c r="H37" s="17" t="str">
        <x:v>Valid formal reading</x:v>
      </x:c>
      <x:c r="I37" s="19" t="str">
        <x:v>Expanded calibration sample</x:v>
      </x:c>
    </x:row>
    <x:row r="38">
      <x:c r="A38" s="16" t="n">
        <x:v>2</x:v>
      </x:c>
      <x:c r="B38" s="17" t="str">
        <x:v>R2-40g</x:v>
      </x:c>
      <x:c r="C38" s="18" t="n">
        <x:v>40</x:v>
      </x:c>
      <x:c r="D38" s="18" t="n">
        <x:v>2</x:v>
      </x:c>
      <x:c r="E38" s="18" t="n">
        <x:v>1123</x:v>
      </x:c>
      <x:c r="F38" s="18" t="n">
        <x:v>2200</x:v>
      </x:c>
      <x:c r="G38" s="17" t="str">
        <x:v>Pump OFF</x:v>
      </x:c>
      <x:c r="H38" s="17" t="str">
        <x:v>Valid formal reading</x:v>
      </x:c>
      <x:c r="I38" s="19" t="str">
        <x:v>Expanded calibration sample</x:v>
      </x:c>
    </x:row>
    <x:row r="39">
      <x:c r="A39" s="16" t="n">
        <x:v>2</x:v>
      </x:c>
      <x:c r="B39" s="17" t="str">
        <x:v>R2-40g</x:v>
      </x:c>
      <x:c r="C39" s="18" t="n">
        <x:v>40</x:v>
      </x:c>
      <x:c r="D39" s="18" t="n">
        <x:v>3</x:v>
      </x:c>
      <x:c r="E39" s="18" t="n">
        <x:v>1209</x:v>
      </x:c>
      <x:c r="F39" s="18" t="n">
        <x:v>2200</x:v>
      </x:c>
      <x:c r="G39" s="17" t="str">
        <x:v>Pump OFF</x:v>
      </x:c>
      <x:c r="H39" s="17" t="str">
        <x:v>Valid formal reading</x:v>
      </x:c>
      <x:c r="I39" s="19" t="str">
        <x:v>Expanded calibration sample</x:v>
      </x:c>
    </x:row>
    <x:row r="40">
      <x:c r="A40" s="16" t="n">
        <x:v>2</x:v>
      </x:c>
      <x:c r="B40" s="17" t="str">
        <x:v>R2-40g</x:v>
      </x:c>
      <x:c r="C40" s="18" t="n">
        <x:v>40</x:v>
      </x:c>
      <x:c r="D40" s="18" t="n">
        <x:v>4</x:v>
      </x:c>
      <x:c r="E40" s="18" t="n">
        <x:v>972</x:v>
      </x:c>
      <x:c r="F40" s="18" t="n">
        <x:v>2200</x:v>
      </x:c>
      <x:c r="G40" s="17" t="str">
        <x:v>Pump OFF</x:v>
      </x:c>
      <x:c r="H40" s="17" t="str">
        <x:v>Valid formal reading</x:v>
      </x:c>
      <x:c r="I40" s="19" t="str">
        <x:v>Expanded calibration sample</x:v>
      </x:c>
    </x:row>
    <x:row r="41">
      <x:c r="A41" s="16" t="n">
        <x:v>2</x:v>
      </x:c>
      <x:c r="B41" s="17" t="str">
        <x:v>R2-40g</x:v>
      </x:c>
      <x:c r="C41" s="18" t="n">
        <x:v>40</x:v>
      </x:c>
      <x:c r="D41" s="18" t="n">
        <x:v>5</x:v>
      </x:c>
      <x:c r="E41" s="18" t="n">
        <x:v>956</x:v>
      </x:c>
      <x:c r="F41" s="18" t="n">
        <x:v>2200</x:v>
      </x:c>
      <x:c r="G41" s="17" t="str">
        <x:v>Pump OFF</x:v>
      </x:c>
      <x:c r="H41" s="17" t="str">
        <x:v>Valid formal reading</x:v>
      </x:c>
      <x:c r="I41" s="19" t="str">
        <x:v>Expanded calibration sample</x:v>
      </x:c>
    </x:row>
    <x:row r="42">
      <x:c r="A42" s="16" t="n">
        <x:v>3</x:v>
      </x:c>
      <x:c r="B42" s="17" t="str">
        <x:v>R3-0g</x:v>
      </x:c>
      <x:c r="C42" s="18" t="n">
        <x:v>0</x:v>
      </x:c>
      <x:c r="D42" s="18" t="n">
        <x:v>1</x:v>
      </x:c>
      <x:c r="E42" s="18" t="n">
        <x:v>3527</x:v>
      </x:c>
      <x:c r="F42" s="18" t="n">
        <x:v>2200</x:v>
      </x:c>
      <x:c r="G42" s="17" t="str">
        <x:v>Pump ON</x:v>
      </x:c>
      <x:c r="H42" s="17" t="str">
        <x:v>Valid formal reading</x:v>
      </x:c>
      <x:c r="I42" s="19" t="str">
        <x:v>Independent replicate</x:v>
      </x:c>
    </x:row>
    <x:row r="43">
      <x:c r="A43" s="16" t="n">
        <x:v>3</x:v>
      </x:c>
      <x:c r="B43" s="17" t="str">
        <x:v>R3-0g</x:v>
      </x:c>
      <x:c r="C43" s="18" t="n">
        <x:v>0</x:v>
      </x:c>
      <x:c r="D43" s="18" t="n">
        <x:v>2</x:v>
      </x:c>
      <x:c r="E43" s="18" t="n">
        <x:v>3609</x:v>
      </x:c>
      <x:c r="F43" s="18" t="n">
        <x:v>2200</x:v>
      </x:c>
      <x:c r="G43" s="17" t="str">
        <x:v>Pump ON</x:v>
      </x:c>
      <x:c r="H43" s="17" t="str">
        <x:v>Valid formal reading</x:v>
      </x:c>
      <x:c r="I43" s="19" t="str">
        <x:v>Independent replicate</x:v>
      </x:c>
    </x:row>
    <x:row r="44">
      <x:c r="A44" s="16" t="n">
        <x:v>3</x:v>
      </x:c>
      <x:c r="B44" s="17" t="str">
        <x:v>R3-0g</x:v>
      </x:c>
      <x:c r="C44" s="18" t="n">
        <x:v>0</x:v>
      </x:c>
      <x:c r="D44" s="18" t="n">
        <x:v>3</x:v>
      </x:c>
      <x:c r="E44" s="18" t="n">
        <x:v>3237</x:v>
      </x:c>
      <x:c r="F44" s="18" t="n">
        <x:v>2200</x:v>
      </x:c>
      <x:c r="G44" s="17" t="str">
        <x:v>Pump ON</x:v>
      </x:c>
      <x:c r="H44" s="17" t="str">
        <x:v>Valid formal reading</x:v>
      </x:c>
      <x:c r="I44" s="19" t="str">
        <x:v>Independent replicate</x:v>
      </x:c>
    </x:row>
    <x:row r="45">
      <x:c r="A45" s="16" t="n">
        <x:v>3</x:v>
      </x:c>
      <x:c r="B45" s="17" t="str">
        <x:v>R3-0g</x:v>
      </x:c>
      <x:c r="C45" s="18" t="n">
        <x:v>0</x:v>
      </x:c>
      <x:c r="D45" s="18" t="n">
        <x:v>4</x:v>
      </x:c>
      <x:c r="E45" s="18" t="n">
        <x:v>3784</x:v>
      </x:c>
      <x:c r="F45" s="18" t="n">
        <x:v>2200</x:v>
      </x:c>
      <x:c r="G45" s="17" t="str">
        <x:v>Pump ON</x:v>
      </x:c>
      <x:c r="H45" s="17" t="str">
        <x:v>Valid formal reading</x:v>
      </x:c>
      <x:c r="I45" s="19" t="str">
        <x:v>Independent replicate</x:v>
      </x:c>
    </x:row>
    <x:row r="46">
      <x:c r="A46" s="16" t="n">
        <x:v>3</x:v>
      </x:c>
      <x:c r="B46" s="17" t="str">
        <x:v>R3-0g</x:v>
      </x:c>
      <x:c r="C46" s="18" t="n">
        <x:v>0</x:v>
      </x:c>
      <x:c r="D46" s="18" t="n">
        <x:v>5</x:v>
      </x:c>
      <x:c r="E46" s="18" t="n">
        <x:v>3025</x:v>
      </x:c>
      <x:c r="F46" s="18" t="n">
        <x:v>2200</x:v>
      </x:c>
      <x:c r="G46" s="17" t="str">
        <x:v>Pump ON</x:v>
      </x:c>
      <x:c r="H46" s="17" t="str">
        <x:v>Valid formal reading</x:v>
      </x:c>
      <x:c r="I46" s="19" t="str">
        <x:v>Independent replicate</x:v>
      </x:c>
    </x:row>
    <x:row r="47">
      <x:c r="A47" s="16" t="n">
        <x:v>3</x:v>
      </x:c>
      <x:c r="B47" s="17" t="str">
        <x:v>R3-20g</x:v>
      </x:c>
      <x:c r="C47" s="18" t="n">
        <x:v>20</x:v>
      </x:c>
      <x:c r="D47" s="18" t="n">
        <x:v>1</x:v>
      </x:c>
      <x:c r="E47" s="18" t="n">
        <x:v>1993</x:v>
      </x:c>
      <x:c r="F47" s="18" t="n">
        <x:v>2200</x:v>
      </x:c>
      <x:c r="G47" s="17" t="str">
        <x:v>Pump OFF</x:v>
      </x:c>
      <x:c r="H47" s="17" t="str">
        <x:v>Valid formal reading</x:v>
      </x:c>
      <x:c r="I47" s="19" t="str">
        <x:v>Independent replicate</x:v>
      </x:c>
    </x:row>
    <x:row r="48">
      <x:c r="A48" s="16" t="n">
        <x:v>3</x:v>
      </x:c>
      <x:c r="B48" s="17" t="str">
        <x:v>R3-20g</x:v>
      </x:c>
      <x:c r="C48" s="18" t="n">
        <x:v>20</x:v>
      </x:c>
      <x:c r="D48" s="18" t="n">
        <x:v>2</x:v>
      </x:c>
      <x:c r="E48" s="18" t="n">
        <x:v>1827</x:v>
      </x:c>
      <x:c r="F48" s="18" t="n">
        <x:v>2200</x:v>
      </x:c>
      <x:c r="G48" s="17" t="str">
        <x:v>Pump OFF</x:v>
      </x:c>
      <x:c r="H48" s="17" t="str">
        <x:v>Valid formal reading</x:v>
      </x:c>
      <x:c r="I48" s="19" t="str">
        <x:v>Independent replicate</x:v>
      </x:c>
    </x:row>
    <x:row r="49">
      <x:c r="A49" s="16" t="n">
        <x:v>3</x:v>
      </x:c>
      <x:c r="B49" s="17" t="str">
        <x:v>R3-20g</x:v>
      </x:c>
      <x:c r="C49" s="18" t="n">
        <x:v>20</x:v>
      </x:c>
      <x:c r="D49" s="18" t="n">
        <x:v>3</x:v>
      </x:c>
      <x:c r="E49" s="18" t="n">
        <x:v>1906</x:v>
      </x:c>
      <x:c r="F49" s="18" t="n">
        <x:v>2200</x:v>
      </x:c>
      <x:c r="G49" s="17" t="str">
        <x:v>Pump OFF</x:v>
      </x:c>
      <x:c r="H49" s="17" t="str">
        <x:v>Valid formal reading</x:v>
      </x:c>
      <x:c r="I49" s="19" t="str">
        <x:v>Independent replicate</x:v>
      </x:c>
    </x:row>
    <x:row r="50">
      <x:c r="A50" s="16" t="n">
        <x:v>3</x:v>
      </x:c>
      <x:c r="B50" s="17" t="str">
        <x:v>R3-20g</x:v>
      </x:c>
      <x:c r="C50" s="18" t="n">
        <x:v>20</x:v>
      </x:c>
      <x:c r="D50" s="18" t="n">
        <x:v>4</x:v>
      </x:c>
      <x:c r="E50" s="18" t="n">
        <x:v>2007</x:v>
      </x:c>
      <x:c r="F50" s="18" t="n">
        <x:v>2200</x:v>
      </x:c>
      <x:c r="G50" s="17" t="str">
        <x:v>Pump OFF</x:v>
      </x:c>
      <x:c r="H50" s="17" t="str">
        <x:v>Valid formal reading</x:v>
      </x:c>
      <x:c r="I50" s="19" t="str">
        <x:v>Independent replicate</x:v>
      </x:c>
    </x:row>
    <x:row r="51">
      <x:c r="A51" s="16" t="n">
        <x:v>3</x:v>
      </x:c>
      <x:c r="B51" s="17" t="str">
        <x:v>R3-20g</x:v>
      </x:c>
      <x:c r="C51" s="18" t="n">
        <x:v>20</x:v>
      </x:c>
      <x:c r="D51" s="18" t="n">
        <x:v>5</x:v>
      </x:c>
      <x:c r="E51" s="18" t="n">
        <x:v>1799</x:v>
      </x:c>
      <x:c r="F51" s="18" t="n">
        <x:v>2200</x:v>
      </x:c>
      <x:c r="G51" s="17" t="str">
        <x:v>Pump OFF</x:v>
      </x:c>
      <x:c r="H51" s="17" t="str">
        <x:v>Valid formal reading</x:v>
      </x:c>
      <x:c r="I51" s="19" t="str">
        <x:v>Independent replicate</x:v>
      </x:c>
    </x:row>
    <x:row r="52">
      <x:c r="A52" s="16" t="n">
        <x:v>3</x:v>
      </x:c>
      <x:c r="B52" s="17" t="str">
        <x:v>R3-40g</x:v>
      </x:c>
      <x:c r="C52" s="18" t="n">
        <x:v>40</x:v>
      </x:c>
      <x:c r="D52" s="18" t="n">
        <x:v>1</x:v>
      </x:c>
      <x:c r="E52" s="18" t="n">
        <x:v>1199</x:v>
      </x:c>
      <x:c r="F52" s="18" t="n">
        <x:v>2200</x:v>
      </x:c>
      <x:c r="G52" s="17" t="str">
        <x:v>Pump OFF</x:v>
      </x:c>
      <x:c r="H52" s="17" t="str">
        <x:v>Valid formal reading</x:v>
      </x:c>
      <x:c r="I52" s="19" t="str">
        <x:v>Independent replicate</x:v>
      </x:c>
    </x:row>
    <x:row r="53">
      <x:c r="A53" s="16" t="n">
        <x:v>3</x:v>
      </x:c>
      <x:c r="B53" s="17" t="str">
        <x:v>R3-40g</x:v>
      </x:c>
      <x:c r="C53" s="18" t="n">
        <x:v>40</x:v>
      </x:c>
      <x:c r="D53" s="18" t="n">
        <x:v>2</x:v>
      </x:c>
      <x:c r="E53" s="18" t="n">
        <x:v>1068</x:v>
      </x:c>
      <x:c r="F53" s="18" t="n">
        <x:v>2200</x:v>
      </x:c>
      <x:c r="G53" s="17" t="str">
        <x:v>Pump OFF</x:v>
      </x:c>
      <x:c r="H53" s="17" t="str">
        <x:v>Valid formal reading</x:v>
      </x:c>
      <x:c r="I53" s="19" t="str">
        <x:v>Independent replicate</x:v>
      </x:c>
    </x:row>
    <x:row r="54">
      <x:c r="A54" s="16" t="n">
        <x:v>3</x:v>
      </x:c>
      <x:c r="B54" s="17" t="str">
        <x:v>R3-40g</x:v>
      </x:c>
      <x:c r="C54" s="18" t="n">
        <x:v>40</x:v>
      </x:c>
      <x:c r="D54" s="18" t="n">
        <x:v>3</x:v>
      </x:c>
      <x:c r="E54" s="18" t="n">
        <x:v>1307</x:v>
      </x:c>
      <x:c r="F54" s="18" t="n">
        <x:v>2200</x:v>
      </x:c>
      <x:c r="G54" s="17" t="str">
        <x:v>Pump OFF</x:v>
      </x:c>
      <x:c r="H54" s="17" t="str">
        <x:v>Valid formal reading</x:v>
      </x:c>
      <x:c r="I54" s="19" t="str">
        <x:v>Independent replicate</x:v>
      </x:c>
    </x:row>
    <x:row r="55">
      <x:c r="A55" s="16" t="n">
        <x:v>3</x:v>
      </x:c>
      <x:c r="B55" s="17" t="str">
        <x:v>R3-40g</x:v>
      </x:c>
      <x:c r="C55" s="18" t="n">
        <x:v>40</x:v>
      </x:c>
      <x:c r="D55" s="18" t="n">
        <x:v>4</x:v>
      </x:c>
      <x:c r="E55" s="18" t="n">
        <x:v>1124</x:v>
      </x:c>
      <x:c r="F55" s="18" t="n">
        <x:v>2200</x:v>
      </x:c>
      <x:c r="G55" s="17" t="str">
        <x:v>Pump OFF</x:v>
      </x:c>
      <x:c r="H55" s="17" t="str">
        <x:v>Valid formal reading</x:v>
      </x:c>
      <x:c r="I55" s="19" t="str">
        <x:v>Independent replicate</x:v>
      </x:c>
    </x:row>
    <x:row r="56">
      <x:c r="A56" s="20" t="n">
        <x:v>3</x:v>
      </x:c>
      <x:c r="B56" s="21" t="str">
        <x:v>R3-40g</x:v>
      </x:c>
      <x:c r="C56" s="22" t="n">
        <x:v>40</x:v>
      </x:c>
      <x:c r="D56" s="22" t="n">
        <x:v>5</x:v>
      </x:c>
      <x:c r="E56" s="22" t="n">
        <x:v>1035</x:v>
      </x:c>
      <x:c r="F56" s="22" t="n">
        <x:v>2200</x:v>
      </x:c>
      <x:c r="G56" s="21" t="str">
        <x:v>Pump OFF</x:v>
      </x:c>
      <x:c r="H56" s="21" t="str">
        <x:v>Valid formal reading</x:v>
      </x:c>
      <x:c r="I56" s="23" t="str">
        <x:v>Independent replicate</x:v>
      </x:c>
    </x:row>
  </x:sheetData>
  <x:pageMargins left="0.7" right="0.7" top="0.75" bottom="0.75" header="0.3" footer="0.3"/>
  <x:tableParts count="1">
    <x:tablePart xmlns:r="http://schemas.openxmlformats.org/officeDocument/2006/relationships" r:id="R1c0714a88fad4f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7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28" hidden="0" customWidth="1"/>
  </x:cols>
  <x:sheetData>
    <x:row r="1" ht="28" customHeight="1">
      <x:c r="A1" s="26" t="str">
        <x:v>ESP32 Soil-Moisture Calibration — Independent Sample Summary</x:v>
      </x:c>
      <x:c r="B1" s="26" t="str">
        <x:v>ESP32 Soil-Moisture Calibration — Independent Sample Summary</x:v>
      </x:c>
      <x:c r="C1" s="26" t="str">
        <x:v>ESP32 Soil-Moisture Calibration — Independent Sample Summary</x:v>
      </x:c>
      <x:c r="D1" s="26" t="str">
        <x:v>ESP32 Soil-Moisture Calibration — Independent Sample Summary</x:v>
      </x:c>
      <x:c r="E1" s="26" t="str">
        <x:v>ESP32 Soil-Moisture Calibration — Independent Sample Summary</x:v>
      </x:c>
      <x:c r="F1" s="26" t="str">
        <x:v>ESP32 Soil-Moisture Calibration — Independent Sample Summary</x:v>
      </x:c>
      <x:c r="G1" s="26" t="str">
        <x:v>ESP32 Soil-Moisture Calibration — Independent Sample Summary</x:v>
      </x:c>
      <x:c r="H1" s="26" t="str">
        <x:v>ESP32 Soil-Moisture Calibration — Independent Sample Summary</x:v>
      </x:c>
      <x:c r="I1" s="26" t="str">
        <x:v>ESP32 Soil-Moisture Calibration — Independent Sample Summary</x:v>
      </x:c>
      <x:c r="J1" s="26" t="str">
        <x:v>ESP32 Soil-Moisture Calibration — Independent Sample Summary</x:v>
      </x:c>
    </x:row>
    <x:row r="3">
      <x:c r="A3" s="14" t="str">
        <x:v>Round</x:v>
      </x:c>
      <x:c r="B3" s="15" t="str">
        <x:v>Sample ID</x:v>
      </x:c>
      <x:c r="C3" s="15" t="str">
        <x:v>Water added (g)</x:v>
      </x:c>
      <x:c r="D3" s="15" t="str">
        <x:v>Readings (n)</x:v>
      </x:c>
      <x:c r="E3" s="15" t="str">
        <x:v>Mean ADC</x:v>
      </x:c>
      <x:c r="F3" s="15" t="str">
        <x:v>Minimum</x:v>
      </x:c>
      <x:c r="G3" s="15" t="str">
        <x:v>Maximum</x:v>
      </x:c>
      <x:c r="H3" s="15" t="str">
        <x:v>Range</x:v>
      </x:c>
      <x:c r="I3" s="15" t="str">
        <x:v>Within-sample SD</x:v>
      </x:c>
      <x:c r="J3" s="15" t="str">
        <x:v>Role</x:v>
      </x:c>
    </x:row>
    <x:row r="4">
      <x:c r="A4" s="29" t="n">
        <x:v>1</x:v>
      </x:c>
      <x:c r="B4" s="17" t="str">
        <x:v>R1-0g</x:v>
      </x:c>
      <x:c r="C4" s="17" t="n">
        <x:v>0</x:v>
      </x:c>
      <x:c r="D4" s="17" t="n">
        <x:f>COUNT('Raw Data'!$E$2:$E$6)</x:f>
        <x:v>5</x:v>
      </x:c>
      <x:c r="E4" s="30" t="n">
        <x:f>AVERAGE('Raw Data'!$E$2:$E$6)</x:f>
        <x:v>3273.8</x:v>
      </x:c>
      <x:c r="F4" s="30" t="n">
        <x:f>MIN('Raw Data'!$E$2:$E$6)</x:f>
        <x:v>3057</x:v>
      </x:c>
      <x:c r="G4" s="30" t="n">
        <x:f>MAX('Raw Data'!$E$2:$E$6)</x:f>
        <x:v>3620</x:v>
      </x:c>
      <x:c r="H4" s="30" t="n">
        <x:f>G4-F4</x:f>
        <x:v>563</x:v>
      </x:c>
      <x:c r="I4" s="30" t="n">
        <x:f>STDEV.S('Raw Data'!$E$2:$E$6)</x:f>
        <x:v>235.5349231005882</x:v>
      </x:c>
      <x:c r="J4" s="19" t="str">
        <x:v>Pilot / replicate 1</x:v>
      </x:c>
    </x:row>
    <x:row r="5">
      <x:c r="A5" s="29" t="n">
        <x:v>1</x:v>
      </x:c>
      <x:c r="B5" s="17" t="str">
        <x:v>R1-20g</x:v>
      </x:c>
      <x:c r="C5" s="17" t="n">
        <x:v>20</x:v>
      </x:c>
      <x:c r="D5" s="17" t="n">
        <x:f>COUNT('Raw Data'!$E$7:$E$11)</x:f>
        <x:v>5</x:v>
      </x:c>
      <x:c r="E5" s="30" t="n">
        <x:f>AVERAGE('Raw Data'!$E$7:$E$11)</x:f>
        <x:v>1869.6</x:v>
      </x:c>
      <x:c r="F5" s="30" t="n">
        <x:f>MIN('Raw Data'!$E$7:$E$11)</x:f>
        <x:v>1806</x:v>
      </x:c>
      <x:c r="G5" s="30" t="n">
        <x:f>MAX('Raw Data'!$E$7:$E$11)</x:f>
        <x:v>1923</x:v>
      </x:c>
      <x:c r="H5" s="30" t="n">
        <x:f>G5-F5</x:f>
        <x:v>117</x:v>
      </x:c>
      <x:c r="I5" s="30" t="n">
        <x:f>STDEV.S('Raw Data'!$E$7:$E$11)</x:f>
        <x:v>51.19863279424559</x:v>
      </x:c>
      <x:c r="J5" s="19" t="str">
        <x:v>Pilot / replicate 1</x:v>
      </x:c>
    </x:row>
    <x:row r="6">
      <x:c r="A6" s="29" t="n">
        <x:v>1</x:v>
      </x:c>
      <x:c r="B6" s="17" t="str">
        <x:v>R1-40g</x:v>
      </x:c>
      <x:c r="C6" s="17" t="n">
        <x:v>40</x:v>
      </x:c>
      <x:c r="D6" s="17" t="n">
        <x:f>COUNT('Raw Data'!$E$12:$E$16)</x:f>
        <x:v>5</x:v>
      </x:c>
      <x:c r="E6" s="30" t="n">
        <x:f>AVERAGE('Raw Data'!$E$12:$E$16)</x:f>
        <x:v>1123</x:v>
      </x:c>
      <x:c r="F6" s="30" t="n">
        <x:f>MIN('Raw Data'!$E$12:$E$16)</x:f>
        <x:v>1037</x:v>
      </x:c>
      <x:c r="G6" s="30" t="n">
        <x:f>MAX('Raw Data'!$E$12:$E$16)</x:f>
        <x:v>1208</x:v>
      </x:c>
      <x:c r="H6" s="30" t="n">
        <x:f>G6-F6</x:f>
        <x:v>171</x:v>
      </x:c>
      <x:c r="I6" s="30" t="n">
        <x:f>STDEV.S('Raw Data'!$E$12:$E$16)</x:f>
        <x:v>69.55932719628619</x:v>
      </x:c>
      <x:c r="J6" s="19" t="str">
        <x:v>Pilot / replicate 1</x:v>
      </x:c>
    </x:row>
    <x:row r="7">
      <x:c r="A7" s="29" t="n">
        <x:v>2</x:v>
      </x:c>
      <x:c r="B7" s="17" t="str">
        <x:v>R2-0g</x:v>
      </x:c>
      <x:c r="C7" s="17" t="n">
        <x:v>0</x:v>
      </x:c>
      <x:c r="D7" s="17" t="n">
        <x:f>COUNT('Raw Data'!$E$17:$E$21)</x:f>
        <x:v>5</x:v>
      </x:c>
      <x:c r="E7" s="30" t="n">
        <x:f>AVERAGE('Raw Data'!$E$17:$E$21)</x:f>
        <x:v>3216.2</x:v>
      </x:c>
      <x:c r="F7" s="30" t="n">
        <x:f>MIN('Raw Data'!$E$17:$E$21)</x:f>
        <x:v>2997</x:v>
      </x:c>
      <x:c r="G7" s="30" t="n">
        <x:f>MAX('Raw Data'!$E$17:$E$21)</x:f>
        <x:v>3402</x:v>
      </x:c>
      <x:c r="H7" s="30" t="n">
        <x:f>G7-F7</x:f>
        <x:v>405</x:v>
      </x:c>
      <x:c r="I7" s="30" t="n">
        <x:f>STDEV.S('Raw Data'!$E$17:$E$21)</x:f>
        <x:v>171.6470215296496</x:v>
      </x:c>
      <x:c r="J7" s="19" t="str">
        <x:v>Independent replicate 2</x:v>
      </x:c>
    </x:row>
    <x:row r="8">
      <x:c r="A8" s="29" t="n">
        <x:v>2</x:v>
      </x:c>
      <x:c r="B8" s="17" t="str">
        <x:v>R2-10g</x:v>
      </x:c>
      <x:c r="C8" s="17" t="n">
        <x:v>10</x:v>
      </x:c>
      <x:c r="D8" s="17" t="n">
        <x:f>COUNT('Raw Data'!$E$22:$E$26)</x:f>
        <x:v>5</x:v>
      </x:c>
      <x:c r="E8" s="30" t="n">
        <x:f>AVERAGE('Raw Data'!$E$22:$E$26)</x:f>
        <x:v>2433.6</x:v>
      </x:c>
      <x:c r="F8" s="30" t="n">
        <x:f>MIN('Raw Data'!$E$22:$E$26)</x:f>
        <x:v>2052</x:v>
      </x:c>
      <x:c r="G8" s="30" t="n">
        <x:f>MAX('Raw Data'!$E$22:$E$26)</x:f>
        <x:v>2600</x:v>
      </x:c>
      <x:c r="H8" s="30" t="n">
        <x:f>G8-F8</x:f>
        <x:v>548</x:v>
      </x:c>
      <x:c r="I8" s="30" t="n">
        <x:f>STDEV.S('Raw Data'!$E$22:$E$26)</x:f>
        <x:v>218.13596677301982</x:v>
      </x:c>
      <x:c r="J8" s="19" t="str">
        <x:v>Exploratory intermediate level</x:v>
      </x:c>
    </x:row>
    <x:row r="9">
      <x:c r="A9" s="29" t="n">
        <x:v>2</x:v>
      </x:c>
      <x:c r="B9" s="17" t="str">
        <x:v>R2-20g</x:v>
      </x:c>
      <x:c r="C9" s="17" t="n">
        <x:v>20</x:v>
      </x:c>
      <x:c r="D9" s="17" t="n">
        <x:f>COUNT('Raw Data'!$E$27:$E$31)</x:f>
        <x:v>5</x:v>
      </x:c>
      <x:c r="E9" s="30" t="n">
        <x:f>AVERAGE('Raw Data'!$E$27:$E$31)</x:f>
        <x:v>1839</x:v>
      </x:c>
      <x:c r="F9" s="30" t="n">
        <x:f>MIN('Raw Data'!$E$27:$E$31)</x:f>
        <x:v>1706</x:v>
      </x:c>
      <x:c r="G9" s="30" t="n">
        <x:f>MAX('Raw Data'!$E$27:$E$31)</x:f>
        <x:v>1936</x:v>
      </x:c>
      <x:c r="H9" s="30" t="n">
        <x:f>G9-F9</x:f>
        <x:v>230</x:v>
      </x:c>
      <x:c r="I9" s="30" t="n">
        <x:f>STDEV.S('Raw Data'!$E$27:$E$31)</x:f>
        <x:v>104.28806259586952</x:v>
      </x:c>
      <x:c r="J9" s="19" t="str">
        <x:v>Independent replicate 2</x:v>
      </x:c>
    </x:row>
    <x:row r="10">
      <x:c r="A10" s="29" t="n">
        <x:v>2</x:v>
      </x:c>
      <x:c r="B10" s="17" t="str">
        <x:v>R2-30g</x:v>
      </x:c>
      <x:c r="C10" s="17" t="n">
        <x:v>30</x:v>
      </x:c>
      <x:c r="D10" s="17" t="n">
        <x:f>COUNT('Raw Data'!$E$32:$E$36)</x:f>
        <x:v>5</x:v>
      </x:c>
      <x:c r="E10" s="30" t="n">
        <x:f>AVERAGE('Raw Data'!$E$32:$E$36)</x:f>
        <x:v>1397.4</x:v>
      </x:c>
      <x:c r="F10" s="30" t="n">
        <x:f>MIN('Raw Data'!$E$32:$E$36)</x:f>
        <x:v>1243</x:v>
      </x:c>
      <x:c r="G10" s="30" t="n">
        <x:f>MAX('Raw Data'!$E$32:$E$36)</x:f>
        <x:v>1503</x:v>
      </x:c>
      <x:c r="H10" s="30" t="n">
        <x:f>G10-F10</x:f>
        <x:v>260</x:v>
      </x:c>
      <x:c r="I10" s="30" t="n">
        <x:f>STDEV.S('Raw Data'!$E$32:$E$36)</x:f>
        <x:v>112.97477594578358</x:v>
      </x:c>
      <x:c r="J10" s="19" t="str">
        <x:v>Exploratory intermediate level</x:v>
      </x:c>
    </x:row>
    <x:row r="11">
      <x:c r="A11" s="29" t="n">
        <x:v>2</x:v>
      </x:c>
      <x:c r="B11" s="17" t="str">
        <x:v>R2-40g</x:v>
      </x:c>
      <x:c r="C11" s="17" t="n">
        <x:v>40</x:v>
      </x:c>
      <x:c r="D11" s="17" t="n">
        <x:f>COUNT('Raw Data'!$E$37:$E$41)</x:f>
        <x:v>5</x:v>
      </x:c>
      <x:c r="E11" s="30" t="n">
        <x:f>AVERAGE('Raw Data'!$E$37:$E$41)</x:f>
        <x:v>1067</x:v>
      </x:c>
      <x:c r="F11" s="30" t="n">
        <x:f>MIN('Raw Data'!$E$37:$E$41)</x:f>
        <x:v>956</x:v>
      </x:c>
      <x:c r="G11" s="30" t="n">
        <x:f>MAX('Raw Data'!$E$37:$E$41)</x:f>
        <x:v>1209</x:v>
      </x:c>
      <x:c r="H11" s="30" t="n">
        <x:f>G11-F11</x:f>
        <x:v>253</x:v>
      </x:c>
      <x:c r="I11" s="30" t="n">
        <x:f>STDEV.S('Raw Data'!$E$37:$E$41)</x:f>
        <x:v>105.72369649231908</x:v>
      </x:c>
      <x:c r="J11" s="19" t="str">
        <x:v>Independent replicate 2</x:v>
      </x:c>
    </x:row>
    <x:row r="12">
      <x:c r="A12" s="29" t="n">
        <x:v>3</x:v>
      </x:c>
      <x:c r="B12" s="17" t="str">
        <x:v>R3-0g</x:v>
      </x:c>
      <x:c r="C12" s="17" t="n">
        <x:v>0</x:v>
      </x:c>
      <x:c r="D12" s="17" t="n">
        <x:f>COUNT('Raw Data'!$E$42:$E$46)</x:f>
        <x:v>5</x:v>
      </x:c>
      <x:c r="E12" s="30" t="n">
        <x:f>AVERAGE('Raw Data'!$E$42:$E$46)</x:f>
        <x:v>3436.4</x:v>
      </x:c>
      <x:c r="F12" s="30" t="n">
        <x:f>MIN('Raw Data'!$E$42:$E$46)</x:f>
        <x:v>3025</x:v>
      </x:c>
      <x:c r="G12" s="30" t="n">
        <x:f>MAX('Raw Data'!$E$42:$E$46)</x:f>
        <x:v>3784</x:v>
      </x:c>
      <x:c r="H12" s="30" t="n">
        <x:f>G12-F12</x:f>
        <x:v>759</x:v>
      </x:c>
      <x:c r="I12" s="30" t="n">
        <x:f>STDEV.S('Raw Data'!$E$42:$E$46)</x:f>
        <x:v>303.24709396793895</x:v>
      </x:c>
      <x:c r="J12" s="19" t="str">
        <x:v>Independent replicate 3</x:v>
      </x:c>
    </x:row>
    <x:row r="13">
      <x:c r="A13" s="29" t="n">
        <x:v>3</x:v>
      </x:c>
      <x:c r="B13" s="17" t="str">
        <x:v>R3-20g</x:v>
      </x:c>
      <x:c r="C13" s="17" t="n">
        <x:v>20</x:v>
      </x:c>
      <x:c r="D13" s="17" t="n">
        <x:f>COUNT('Raw Data'!$E$47:$E$51)</x:f>
        <x:v>5</x:v>
      </x:c>
      <x:c r="E13" s="30" t="n">
        <x:f>AVERAGE('Raw Data'!$E$47:$E$51)</x:f>
        <x:v>1906.4</x:v>
      </x:c>
      <x:c r="F13" s="30" t="n">
        <x:f>MIN('Raw Data'!$E$47:$E$51)</x:f>
        <x:v>1799</x:v>
      </x:c>
      <x:c r="G13" s="30" t="n">
        <x:f>MAX('Raw Data'!$E$47:$E$51)</x:f>
        <x:v>2007</x:v>
      </x:c>
      <x:c r="H13" s="30" t="n">
        <x:f>G13-F13</x:f>
        <x:v>208</x:v>
      </x:c>
      <x:c r="I13" s="30" t="n">
        <x:f>STDEV.S('Raw Data'!$E$47:$E$51)</x:f>
        <x:v>94.15306686454775</x:v>
      </x:c>
      <x:c r="J13" s="19" t="str">
        <x:v>Independent replicate 3</x:v>
      </x:c>
    </x:row>
    <x:row r="14">
      <x:c r="A14" s="31" t="n">
        <x:v>3</x:v>
      </x:c>
      <x:c r="B14" s="21" t="str">
        <x:v>R3-40g</x:v>
      </x:c>
      <x:c r="C14" s="21" t="n">
        <x:v>40</x:v>
      </x:c>
      <x:c r="D14" s="21" t="n">
        <x:f>COUNT('Raw Data'!$E$52:$E$56)</x:f>
        <x:v>5</x:v>
      </x:c>
      <x:c r="E14" s="32" t="n">
        <x:f>AVERAGE('Raw Data'!$E$52:$E$56)</x:f>
        <x:v>1146.6</x:v>
      </x:c>
      <x:c r="F14" s="32" t="n">
        <x:f>MIN('Raw Data'!$E$52:$E$56)</x:f>
        <x:v>1035</x:v>
      </x:c>
      <x:c r="G14" s="32" t="n">
        <x:f>MAX('Raw Data'!$E$52:$E$56)</x:f>
        <x:v>1307</x:v>
      </x:c>
      <x:c r="H14" s="32" t="n">
        <x:f>G14-F14</x:f>
        <x:v>272</x:v>
      </x:c>
      <x:c r="I14" s="32" t="n">
        <x:f>STDEV.S('Raw Data'!$E$52:$E$56)</x:f>
        <x:v>109.10682838392837</x:v>
      </x:c>
      <x:c r="J14" s="23" t="str">
        <x:v>Independent replicate 3</x:v>
      </x:c>
    </x:row>
    <x:row r="16">
      <x:c r="A16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B16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C16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D16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E16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F16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G16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H16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I16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J16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</x:row>
    <x:row r="17">
      <x:c r="A17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B17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C17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D17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E17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F17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G17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H17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I17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J17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</x:row>
    <x:row r="18">
      <x:c r="A18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B18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C18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D18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E18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F18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G18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H18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I18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  <x:c r="J18" s="36" t="str">
        <x:v>Interpretation note: the five ADC values inside one cup quantify measurement variability within that soil sample. They are not five independent soil replicates. The independent experimental units are the separate cups/samples listed above.</x:v>
      </x:c>
    </x:row>
  </x:sheetData>
  <x:mergeCells>
    <x:mergeCell ref="A1:J1"/>
    <x:mergeCell ref="A16:J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30" hidden="0" customWidth="1"/>
    <x:col min="10" max="10" width="24" hidden="0" customWidth="1"/>
    <x:col min="11" max="11" width="18" hidden="0" customWidth="1"/>
  </x:cols>
  <x:sheetData>
    <x:row r="1" ht="28" customHeight="1">
      <x:c r="A1" s="26" t="str">
        <x:v>Calibration Results by Added-Water Condition</x:v>
      </x:c>
      <x:c r="B1" s="26" t="str">
        <x:v>Calibration Results by Added-Water Condition</x:v>
      </x:c>
      <x:c r="C1" s="26" t="str">
        <x:v>Calibration Results by Added-Water Condition</x:v>
      </x:c>
      <x:c r="D1" s="26" t="str">
        <x:v>Calibration Results by Added-Water Condition</x:v>
      </x:c>
      <x:c r="E1" s="26" t="str">
        <x:v>Calibration Results by Added-Water Condition</x:v>
      </x:c>
      <x:c r="F1" s="26" t="str">
        <x:v>Calibration Results by Added-Water Condition</x:v>
      </x:c>
      <x:c r="G1" s="26" t="str">
        <x:v>Calibration Results by Added-Water Condition</x:v>
      </x:c>
    </x:row>
    <x:row r="3">
      <x:c r="A3" s="14" t="str">
        <x:v>Water added (g)</x:v>
      </x:c>
      <x:c r="B3" s="15" t="str">
        <x:v>Independent samples (n)</x:v>
      </x:c>
      <x:c r="C3" s="15" t="str">
        <x:v>Mean of sample means (ADC)</x:v>
      </x:c>
      <x:c r="D3" s="15" t="str">
        <x:v>Between-sample SD</x:v>
      </x:c>
      <x:c r="E3" s="15" t="str">
        <x:v>Minimum sample mean</x:v>
      </x:c>
      <x:c r="F3" s="15" t="str">
        <x:v>Maximum sample mean</x:v>
      </x:c>
      <x:c r="G3" s="15" t="str">
        <x:v>Evidence level</x:v>
      </x:c>
      <x:c r="J3" s="39" t="str">
        <x:v>30 g prediction check</x:v>
      </x:c>
      <x:c r="K3" s="40" t="str">
        <x:v>30 g prediction check</x:v>
      </x:c>
    </x:row>
    <x:row r="4">
      <x:c r="A4" s="29" t="n">
        <x:v>0</x:v>
      </x:c>
      <x:c r="B4" s="17" t="n">
        <x:v>3</x:v>
      </x:c>
      <x:c r="C4" s="30" t="n">
        <x:f>AVERAGE('Sample Summary'!E4,'Sample Summary'!E7,'Sample Summary'!E12)</x:f>
        <x:v>3308.7999999999997</x:v>
      </x:c>
      <x:c r="D4" s="30" t="n">
        <x:f>STDEV.S('Sample Summary'!E4,'Sample Summary'!E7,'Sample Summary'!E12)</x:f>
        <x:v>114.19614704533609</x:v>
      </x:c>
      <x:c r="E4" s="30" t="n">
        <x:f>MIN('Sample Summary'!E4,'Sample Summary'!E7,'Sample Summary'!E12)</x:f>
        <x:v>3216.2</x:v>
      </x:c>
      <x:c r="F4" s="30" t="n">
        <x:f>MAX('Sample Summary'!E4,'Sample Summary'!E7,'Sample Summary'!E12)</x:f>
        <x:v>3436.4</x:v>
      </x:c>
      <x:c r="G4" s="19" t="str">
        <x:v>Replicated main condition (n=3)</x:v>
      </x:c>
      <x:c r="J4" s="41" t="str">
        <x:v>Predicted ADC</x:v>
      </x:c>
      <x:c r="K4" s="42" t="n">
        <x:f>ROUND(('Sample Summary'!E5+'Sample Summary'!E6)/2,0)</x:f>
        <x:v>1496</x:v>
      </x:c>
    </x:row>
    <x:row r="5">
      <x:c r="A5" s="29" t="n">
        <x:v>10</x:v>
      </x:c>
      <x:c r="B5" s="17" t="n">
        <x:v>1</x:v>
      </x:c>
      <x:c r="C5" s="30" t="n">
        <x:f>AVERAGE('Sample Summary'!E8)</x:f>
        <x:v>2433.6</x:v>
      </x:c>
      <x:c r="D5" s="30" t="str">
        <x:f>"Not estimated"</x:f>
        <x:v>Not estimated</x:v>
      </x:c>
      <x:c r="E5" s="30" t="n">
        <x:f>MIN('Sample Summary'!E8)</x:f>
        <x:v>2433.6</x:v>
      </x:c>
      <x:c r="F5" s="30" t="n">
        <x:f>MAX('Sample Summary'!E8)</x:f>
        <x:v>2433.6</x:v>
      </x:c>
      <x:c r="G5" s="19" t="str">
        <x:v>Exploratory condition (n=1)</x:v>
      </x:c>
      <x:c r="J5" s="41" t="str">
        <x:v>Observed mean ADC</x:v>
      </x:c>
      <x:c r="K5" s="42" t="n">
        <x:f>'Sample Summary'!E10</x:f>
        <x:v>1397.4</x:v>
      </x:c>
    </x:row>
    <x:row r="6">
      <x:c r="A6" s="29" t="n">
        <x:v>20</x:v>
      </x:c>
      <x:c r="B6" s="17" t="n">
        <x:v>3</x:v>
      </x:c>
      <x:c r="C6" s="30" t="n">
        <x:f>AVERAGE('Sample Summary'!E5,'Sample Summary'!E9,'Sample Summary'!E13)</x:f>
        <x:v>1871.6666666666667</x:v>
      </x:c>
      <x:c r="D6" s="30" t="n">
        <x:f>STDEV.S('Sample Summary'!E5,'Sample Summary'!E9,'Sample Summary'!E13)</x:f>
        <x:v>33.74749373410323</x:v>
      </x:c>
      <x:c r="E6" s="30" t="n">
        <x:f>MIN('Sample Summary'!E5,'Sample Summary'!E9,'Sample Summary'!E13)</x:f>
        <x:v>1839</x:v>
      </x:c>
      <x:c r="F6" s="30" t="n">
        <x:f>MAX('Sample Summary'!E5,'Sample Summary'!E9,'Sample Summary'!E13)</x:f>
        <x:v>1906.4</x:v>
      </x:c>
      <x:c r="G6" s="19" t="str">
        <x:v>Replicated main condition (n=3)</x:v>
      </x:c>
      <x:c r="J6" s="41" t="str">
        <x:v>Absolute error (ADC)</x:v>
      </x:c>
      <x:c r="K6" s="42" t="n">
        <x:f>ABS(K4-K5)</x:f>
        <x:v>98.59999999999991</x:v>
      </x:c>
    </x:row>
    <x:row r="7">
      <x:c r="A7" s="29" t="n">
        <x:v>30</x:v>
      </x:c>
      <x:c r="B7" s="17" t="n">
        <x:v>1</x:v>
      </x:c>
      <x:c r="C7" s="30" t="n">
        <x:f>AVERAGE('Sample Summary'!E10)</x:f>
        <x:v>1397.4</x:v>
      </x:c>
      <x:c r="D7" s="30" t="str">
        <x:f>"Not estimated"</x:f>
        <x:v>Not estimated</x:v>
      </x:c>
      <x:c r="E7" s="30" t="n">
        <x:f>MIN('Sample Summary'!E10)</x:f>
        <x:v>1397.4</x:v>
      </x:c>
      <x:c r="F7" s="30" t="n">
        <x:f>MAX('Sample Summary'!E10)</x:f>
        <x:v>1397.4</x:v>
      </x:c>
      <x:c r="G7" s="19" t="str">
        <x:v>Exploratory condition (n=1)</x:v>
      </x:c>
      <x:c r="J7" s="43" t="str">
        <x:v>Error vs observed</x:v>
      </x:c>
      <x:c r="K7" s="44" t="n">
        <x:f>K6/K5</x:f>
        <x:v>0.07055961070559603</x:v>
      </x:c>
    </x:row>
    <x:row r="8">
      <x:c r="A8" s="31" t="n">
        <x:v>40</x:v>
      </x:c>
      <x:c r="B8" s="21" t="n">
        <x:v>3</x:v>
      </x:c>
      <x:c r="C8" s="32" t="n">
        <x:f>AVERAGE('Sample Summary'!E6,'Sample Summary'!E11,'Sample Summary'!E14)</x:f>
        <x:v>1112.2</x:v>
      </x:c>
      <x:c r="D8" s="32" t="n">
        <x:f>STDEV.S('Sample Summary'!E6,'Sample Summary'!E11,'Sample Summary'!E14)</x:f>
        <x:v>40.884226787356475</x:v>
      </x:c>
      <x:c r="E8" s="32" t="n">
        <x:f>MIN('Sample Summary'!E6,'Sample Summary'!E11,'Sample Summary'!E14)</x:f>
        <x:v>1067</x:v>
      </x:c>
      <x:c r="F8" s="32" t="n">
        <x:f>MAX('Sample Summary'!E6,'Sample Summary'!E11,'Sample Summary'!E14)</x:f>
        <x:v>1146.6</x:v>
      </x:c>
      <x:c r="G8" s="23" t="str">
        <x:v>Replicated main condition (n=3)</x:v>
      </x:c>
    </x:row>
    <x:row r="10">
      <x:c r="J10" s="39" t="str">
        <x:v>Descriptive linear fit</x:v>
      </x:c>
      <x:c r="K10" s="40" t="str">
        <x:v>Descriptive linear fit</x:v>
      </x:c>
    </x:row>
    <x:row r="11">
      <x:c r="A11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B11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C11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D11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E11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F11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G11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J11" s="47" t="str">
        <x:v>Slope (ADC/g)</x:v>
      </x:c>
      <x:c r="K11" s="42" t="n">
        <x:f>SLOPE(C4:C8,A4:A8)</x:f>
        <x:v>-54.29399999999998</x:v>
      </x:c>
    </x:row>
    <x:row r="12">
      <x:c r="A12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B12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C12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D12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E12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F12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G12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J12" s="47" t="str">
        <x:v>Intercept (ADC)</x:v>
      </x:c>
      <x:c r="K12" s="42" t="n">
        <x:f>INTERCEPT(C4:C8,A4:A8)</x:f>
        <x:v>3110.613333333333</x:v>
      </x:c>
    </x:row>
    <x:row r="13">
      <x:c r="A13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B13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C13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D13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E13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F13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G13" s="53" t="str">
        <x:v>Main result: mean ADC decreased consistently as added water increased. The 0 g, 20 g, and 40 g conditions each have three independent soil samples. The 10 g and 30 g conditions are useful intermediate observations but have only one independent sample each.</x:v>
      </x:c>
      <x:c r="J13" s="48" t="str">
        <x:v>R²</x:v>
      </x:c>
      <x:c r="K13" s="49" t="n">
        <x:f>RSQ(C4:C8,A4:A8)</x:f>
        <x:v>0.9615570349174802</x:v>
      </x:c>
    </x:row>
  </x:sheetData>
  <x:mergeCells>
    <x:mergeCell ref="A1:G1"/>
    <x:mergeCell ref="J3:K3"/>
    <x:mergeCell ref="J10:K10"/>
    <x:mergeCell ref="A11:G13"/>
  </x:mergeCells>
  <x:pageMargins left="0.7" right="0.7" top="0.75" bottom="0.75" header="0.3" footer="0.3"/>
  <x:drawing xmlns:r="http://schemas.openxmlformats.org/officeDocument/2006/relationships" r:id="Rc2f025d16a0e420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28" customHeight="1">
      <x:c r="A1" s="26" t="str">
        <x:v>Experiment Protocol, Scope, and Limitations</x:v>
      </x:c>
      <x:c r="B1" s="26" t="str">
        <x:v>Experiment Protocol, Scope, and Limitations</x:v>
      </x:c>
      <x:c r="C1" s="26" t="str">
        <x:v>Experiment Protocol, Scope, and Limitations</x:v>
      </x:c>
      <x:c r="D1" s="26" t="str">
        <x:v>Experiment Protocol, Scope, and Limitations</x:v>
      </x:c>
      <x:c r="E1" s="26" t="str">
        <x:v>Experiment Protocol, Scope, and Limitations</x:v>
      </x:c>
      <x:c r="F1" s="26" t="str">
        <x:v>Experiment Protocol, Scope, and Limitations</x:v>
      </x:c>
      <x:c r="G1" s="26" t="str">
        <x:v>Experiment Protocol, Scope, and Limitations</x:v>
      </x:c>
      <x:c r="H1" s="26" t="str">
        <x:v>Experiment Protocol, Scope, and Limitations</x:v>
      </x:c>
    </x:row>
    <x:row r="3">
      <x:c r="A3" s="14" t="str">
        <x:v>Item</x:v>
      </x:c>
      <x:c r="B3" s="15" t="str">
        <x:v>Recorded method / interpretation</x:v>
      </x:c>
    </x:row>
    <x:row r="4" ht="15" hidden="0" customHeight="1">
      <x:c r="A4" s="57" t="str">
        <x:v>Research type</x:v>
      </x:c>
      <x:c r="B4" s="58" t="str">
        <x:v>Independent replicated calibration study expanding an initial pilot experiment.</x:v>
      </x:c>
    </x:row>
    <x:row r="5" ht="15" hidden="0" customHeight="1">
      <x:c r="A5" s="57" t="str">
        <x:v>Independent variable</x:v>
      </x:c>
      <x:c r="B5" s="58" t="str">
        <x:v>Mass of water added to the soil sample: 0 g, 10 g, 20 g, 30 g, or 40 g.</x:v>
      </x:c>
    </x:row>
    <x:row r="6" ht="15" hidden="0" customHeight="1">
      <x:c r="A6" s="57" t="str">
        <x:v>Dependent variable</x:v>
      </x:c>
      <x:c r="B6" s="58" t="str">
        <x:v>ESP32 ADC reading from the soil-moisture sensor on GPIO33.</x:v>
      </x:c>
    </x:row>
    <x:row r="7" ht="24" hidden="0" customHeight="1">
      <x:c r="A7" s="57" t="str">
        <x:v>Independent experimental unit</x:v>
      </x:c>
      <x:c r="B7" s="58" t="str">
        <x:v>One separately prepared cup of soil. The 0 g, 20 g, and 40 g conditions each have three independent cups.</x:v>
      </x:c>
    </x:row>
    <x:row r="8" ht="15" hidden="0" customHeight="1">
      <x:c r="A8" s="57" t="str">
        <x:v>Technical repeats</x:v>
      </x:c>
      <x:c r="B8" s="58" t="str">
        <x:v>Five ADC readings were recorded from each cup and averaged to obtain one sample-level result.</x:v>
      </x:c>
    </x:row>
    <x:row r="9" ht="24" hidden="0" customHeight="1">
      <x:c r="A9" s="57" t="str">
        <x:v>Control measures</x:v>
      </x:c>
      <x:c r="B9" s="58" t="str">
        <x:v>New dry soil was used for each experimental round; cup type, soil height/amount, added-water mass, waiting procedure, sensor depth, and measurement method were kept as consistent as practicable.</x:v>
      </x:c>
    </x:row>
    <x:row r="10" ht="15" hidden="0" customHeight="1">
      <x:c r="A10" s="57" t="str">
        <x:v>Decision threshold</x:v>
      </x:c>
      <x:c r="B10" s="58" t="str">
        <x:v>ADC &gt; 2200 corresponds to Pump ON in the current control logic; otherwise Pump OFF.</x:v>
      </x:c>
    </x:row>
    <x:row r="11" ht="15" hidden="0" customHeight="1">
      <x:c r="A11" s="57" t="str">
        <x:v>Observed relationship</x:v>
      </x:c>
      <x:c r="B11" s="58" t="str">
        <x:v>Higher added-water mass produced lower ADC readings across all three replicated main conditions.</x:v>
      </x:c>
    </x:row>
    <x:row r="12" ht="24" hidden="0" customHeight="1">
      <x:c r="A12" s="57" t="str">
        <x:v>Prediction validation</x:v>
      </x:c>
      <x:c r="B12" s="58" t="str">
        <x:v>The initial 20 g and 40 g means predicted approximately 1496 ADC at 30 g. The measured 30 g sample mean was 1397.4 ADC.</x:v>
      </x:c>
    </x:row>
    <x:row r="13" ht="24" hidden="0" customHeight="1">
      <x:c r="A13" s="57" t="str">
        <x:v>Limitation 1</x:v>
      </x:c>
      <x:c r="B13" s="58" t="str">
        <x:v>Only one independent sample was prepared at 10 g and one at 30 g; their between-sample variability cannot be estimated.</x:v>
      </x:c>
    </x:row>
    <x:row r="14" ht="24" hidden="0" customHeight="1">
      <x:c r="A14" s="57" t="str">
        <x:v>Limitation 2</x:v>
      </x:c>
      <x:c r="B14" s="58" t="str">
        <x:v>The experiment calibrated added-water mass under this soil and container setup; it did not establish universal volumetric soil moisture for every soil type.</x:v>
      </x:c>
    </x:row>
    <x:row r="15" ht="24" hidden="0" customHeight="1">
      <x:c r="A15" s="57" t="str">
        <x:v>Limitation 3</x:v>
      </x:c>
      <x:c r="B15" s="58" t="str">
        <x:v>Exact dry-soil mass was not recorded in the supplied data; equal soil amount and height were controlled operationally.</x:v>
      </x:c>
    </x:row>
    <x:row r="16" ht="24" hidden="0" customHeight="1">
      <x:c r="A16" s="59" t="str">
        <x:v>Data integrity</x:v>
      </x:c>
      <x:c r="B16" s="60" t="str">
        <x:v>All 55 ADC values in the raw-data sheet are reported measured values. No predicted value is included as a measured observation.</x:v>
      </x:c>
    </x:row>
    <x:row r="23">
      <x:c r="D23" s="63" t="str">
        <x:v>Figure. Third independent experimental round using soil samples with 0 g, 20 g, and 40 g of added water.</x:v>
      </x:c>
      <x:c r="E23" s="63" t="str">
        <x:v>Figure. Third independent experimental round using soil samples with 0 g, 20 g, and 40 g of added water.</x:v>
      </x:c>
      <x:c r="F23" s="63" t="str">
        <x:v>Figure. Third independent experimental round using soil samples with 0 g, 20 g, and 40 g of added water.</x:v>
      </x:c>
      <x:c r="G23" s="63" t="str">
        <x:v>Figure. Third independent experimental round using soil samples with 0 g, 20 g, and 40 g of added water.</x:v>
      </x:c>
      <x:c r="H23" s="63" t="str">
        <x:v>Figure. Third independent experimental round using soil samples with 0 g, 20 g, and 40 g of added water.</x:v>
      </x:c>
    </x:row>
    <x:row r="24">
      <x:c r="D24" s="63" t="str">
        <x:v>Figure. Third independent experimental round using soil samples with 0 g, 20 g, and 40 g of added water.</x:v>
      </x:c>
      <x:c r="E24" s="63" t="str">
        <x:v>Figure. Third independent experimental round using soil samples with 0 g, 20 g, and 40 g of added water.</x:v>
      </x:c>
      <x:c r="F24" s="63" t="str">
        <x:v>Figure. Third independent experimental round using soil samples with 0 g, 20 g, and 40 g of added water.</x:v>
      </x:c>
      <x:c r="G24" s="63" t="str">
        <x:v>Figure. Third independent experimental round using soil samples with 0 g, 20 g, and 40 g of added water.</x:v>
      </x:c>
      <x:c r="H24" s="63" t="str">
        <x:v>Figure. Third independent experimental round using soil samples with 0 g, 20 g, and 40 g of added water.</x:v>
      </x:c>
    </x:row>
  </x:sheetData>
  <x:mergeCells>
    <x:mergeCell ref="A1:H1"/>
    <x:mergeCell ref="D23:H24"/>
  </x:mergeCells>
  <x:pageMargins left="0.7" right="0.7" top="0.75" bottom="0.75" header="0.3" footer="0.3"/>
  <x:drawing xmlns:r="http://schemas.openxmlformats.org/officeDocument/2006/relationships" r:id="Rbfe3c7fd12e04384"/>
</x:worksheet>
</file>