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88066c25754be3" /></Relationships>
</file>

<file path=xl/workbook.xml><?xml version="1.0" encoding="utf-8"?>
<x:workbook xmlns:x="http://schemas.openxmlformats.org/spreadsheetml/2006/main">
  <x:sheets>
    <x:sheet xmlns:r="http://schemas.openxmlformats.org/officeDocument/2006/relationships" name="Raw Data" sheetId="1" r:id="Rd34809850173433a"/>
    <x:sheet xmlns:r="http://schemas.openxmlformats.org/officeDocument/2006/relationships" name="Analysis" sheetId="2" r:id="Rd80f8c27a8434c26"/>
    <x:sheet xmlns:r="http://schemas.openxmlformats.org/officeDocument/2006/relationships" name="Protocol &amp; Notes" sheetId="3" r:id="Rfb35eb5774714fb0"/>
    <x:sheet xmlns:r="http://schemas.openxmlformats.org/officeDocument/2006/relationships" name="Report Guide" sheetId="4" r:id="R0c5bbb14c26a457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
  </x:numFmts>
  <x:fonts count="7">
    <x:font>
      <x:sz val="11"/>
      <x:name val="Carlito"/>
    </x:font>
    <x:font>
      <x:b/>
      <x:sz val="16"/>
      <x:color rgb="FFFFFFFF"/>
      <x:name val="Carlito"/>
    </x:font>
    <x:font>
      <x:i/>
      <x:sz val="11"/>
      <x:color rgb="FF404040"/>
      <x:name val="Carlito"/>
    </x:font>
    <x:font>
      <x:b/>
      <x:sz val="11"/>
      <x:color rgb="FFFFFFFF"/>
      <x:name val="Carlito"/>
    </x:font>
    <x:font>
      <x:i/>
      <x:sz val="11"/>
      <x:color rgb="FF7F6000"/>
      <x:name val="Carlito"/>
    </x:font>
    <x:font>
      <x:b/>
      <x:sz val="11"/>
      <x:color rgb="FF1F1F1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EEF5FB"/>
      </x:patternFill>
    </x:fill>
    <x:fill>
      <x:patternFill patternType="solid">
        <x:fgColor rgb="FFFFF2CC"/>
      </x:patternFill>
    </x:fill>
    <x:fill>
      <x:patternFill patternType="solid">
        <x:fgColor rgb="FFD9EAF7"/>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horizontal="center" vertical="center"/>
    </x:xf>
    <x:xf numFmtId="200" fontId="0" fillId="0"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x:xf>
    <x:xf numFmtId="202" fontId="0" fillId="0" borderId="0" xfId="0" applyNumberFormat="1" applyFont="1" applyFill="1" applyBorder="1" applyAlignment="1">
      <x:alignment horizont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200" fontId="5" fillId="5" borderId="0" xfId="0" applyNumberFormat="1" applyFont="1" applyFill="1" applyBorder="1" applyAlignment="1">
      <x:alignment vertical="center"/>
    </x:xf>
    <x:xf numFmtId="201" fontId="0" fillId="0"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5">
    <x:dxf>
      <x:font>
        <x:b/>
        <x:color rgb="FF9C0006"/>
      </x:font>
      <x:fill>
        <x:patternFill patternType="solid">
          <x:bgColor rgb="FFF4CCCC"/>
        </x:patternFill>
      </x:fill>
    </x:dxf>
    <x:dxf>
      <x:font>
        <x:b/>
        <x:color rgb="FF006100"/>
      </x:font>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410d48785d471d" /><Relationship Type="http://schemas.openxmlformats.org/officeDocument/2006/relationships/theme" Target="/xl/theme/theme1.xml" Id="Ra7f0b5700df14b07" /><Relationship Type="http://schemas.openxmlformats.org/officeDocument/2006/relationships/sharedStrings" Target="/xl/sharedStrings.xml" Id="R480e50f956d74e8f" /><Relationship Type="http://schemas.openxmlformats.org/officeDocument/2006/relationships/worksheet" Target="/xl/worksheets/sheet1.xml" Id="Rd34809850173433a" /><Relationship Type="http://schemas.openxmlformats.org/officeDocument/2006/relationships/worksheet" Target="/xl/worksheets/sheet2.xml" Id="Rd80f8c27a8434c26" /><Relationship Type="http://schemas.openxmlformats.org/officeDocument/2006/relationships/worksheet" Target="/xl/worksheets/sheet3.xml" Id="Rfb35eb5774714fb0" /><Relationship Type="http://schemas.openxmlformats.org/officeDocument/2006/relationships/worksheet" Target="/xl/worksheets/sheet4.xml" Id="R0c5bbb14c26a4577" /></Relationships>
</file>

<file path=xl/drawings/_rels/drawing1.xml.rels>&#65279;<?xml version="1.0" encoding="utf-8"?><Relationships xmlns="http://schemas.openxmlformats.org/package/2006/relationships"><Relationship Type="http://schemas.openxmlformats.org/officeDocument/2006/relationships/chart" Target="/xl/drawings/charts/chart1.xml" Id="R6e9baaead8bc40a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Mean ADC decreases as added water increases</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Mean ADC</c:v>
          </c:tx>
          <c:marker>
            <c:symbol val="none"/>
          </c:marker>
          <c:cat>
            <c:strRef>
              <c:f>'Analysis'!$L$5:$L$7</c:f>
              <c:strCache>
                <c:ptCount val="0"/>
              </c:strCache>
            </c:strRef>
          </c:cat>
          <c:val>
            <c:numRef>
              <c:f>'Analysis'!$M$5:$M$7</c:f>
              <c:numCache>
                <c:formatCode>0.0</c:formatCode>
                <c:ptCount val="0"/>
              </c:numCache>
            </c:numRef>
          </c:val>
          <c:smooth val="0"/>
        </c:ser>
        <c:ser>
          <c:idx val="1"/>
          <c:order val="1"/>
          <c:tx>
            <c:v>Threshold</c:v>
          </c:tx>
          <c:marker>
            <c:symbol val="none"/>
          </c:marker>
          <c:cat>
            <c:strRef>
              <c:f>'Analysis'!$L$5:$L$7</c:f>
              <c:strCache>
                <c:ptCount val="0"/>
              </c:strCache>
            </c:strRef>
          </c:cat>
          <c:val>
            <c:numRef>
              <c:f>'Analysis'!$N$5:$N$7</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Water added (g)</a:t>
                </a:r>
              </a:p>
            </c:rich>
          </c:tx>
          <c:overlay val="0"/>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catAx>
      <c:valAx>
        <c:axId val="48672768"/>
        <c:scaling>
          <c:orientation val="minMax"/>
          <c:max val="4000"/>
          <c:min val="0"/>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ADC reading</a:t>
                </a:r>
              </a:p>
            </c:rich>
          </c:tx>
          <c:overlay val="0"/>
        </c:title>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8</xdr:row>
      <xdr:rowOff>0</xdr:rowOff>
    </xdr:from>
    <xdr:to>
      <xdr:col>20</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e9baaead8bc40a2"/>
        </a:graphicData>
      </a:graphic>
    </xdr:graphicFrame>
    <xdr:clientData/>
  </xdr:twoCellAnchor>
</xdr:wsDr>
</file>

<file path=xl/tables/table1.xml><?xml version="1.0" encoding="utf-8"?>
<x:table xmlns:x="http://schemas.openxmlformats.org/spreadsheetml/2006/main" id="1" name="RawDataTable" displayName="RawDataTable" ref="A4:G19" headerRowCount="1" totalsRowCount="0" totalsRowShown="0">
  <x:tableColumns count="7">
    <x:tableColumn id="1" name="Condition"/>
    <x:tableColumn id="2" name="Water added (g)"/>
    <x:tableColumn id="3" name="Trial"/>
    <x:tableColumn id="4" name="ADC reading"/>
    <x:tableColumn id="5" name="Threshold"/>
    <x:tableColumn id="6" name="System decision"/>
    <x:tableColumn id="7" name="Validity note"/>
  </x:tableColumns>
  <x:tableStyleInfo name="TableStyleMedium2" showFirstColumn="0" showLastColumn="0" showRowStripes="1" showColumnStripes="0"/>
</x:table>
</file>

<file path=xl/tables/table2.xml><?xml version="1.0" encoding="utf-8"?>
<x:table xmlns:x="http://schemas.openxmlformats.org/spreadsheetml/2006/main" id="2" name="CalibrationSummaryTable" displayName="CalibrationSummaryTable" ref="A4:J7" headerRowCount="1" totalsRowCount="0" totalsRowShown="0">
  <x:tableColumns count="10">
    <x:tableColumn id="1" name="Condition"/>
    <x:tableColumn id="2" name="Water added (g)"/>
    <x:tableColumn id="3" name="n"/>
    <x:tableColumn id="4" name="Mean ADC"/>
    <x:tableColumn id="5" name="Minimum"/>
    <x:tableColumn id="6" name="Maximum"/>
    <x:tableColumn id="7" name="Min–max"/>
    <x:tableColumn id="8" name="Range difference"/>
    <x:tableColumn id="9" name="Sample SD"/>
    <x:tableColumn id="10" name="Pump-ON r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5619dfce8f347ce" /></Relationships>
</file>

<file path=xl/worksheets/_rels/sheet2.xml.rels>&#65279;<?xml version="1.0" encoding="utf-8"?><Relationships xmlns="http://schemas.openxmlformats.org/package/2006/relationships"><Relationship Type="http://schemas.openxmlformats.org/officeDocument/2006/relationships/drawing" Target="/xl/drawings/drawing1.xml" Id="R8dfd9e3324534ba7" /><Relationship Type="http://schemas.openxmlformats.org/officeDocument/2006/relationships/table" Target="/xl/tables/table2.xml" Id="R23870626ec154aae" /></Relationships>
</file>

<file path=xl/worksheets/sheet1.xml><?xml version="1.0" encoding="utf-8"?>
<x:worksheet xmlns:x="http://schemas.openxmlformats.org/spreadsheetml/2006/main">
  <x:sheetFormatPr defaultRowHeight="15"/>
  <x:cols>
    <x:col min="1" max="1" width="12" hidden="0" customWidth="1"/>
    <x:col min="2" max="2" width="16" hidden="0" customWidth="1"/>
    <x:col min="3" max="3" width="10" hidden="0" customWidth="1"/>
    <x:col min="4" max="4" width="14" hidden="0" customWidth="1"/>
    <x:col min="5" max="5" width="14" hidden="0" customWidth="1"/>
    <x:col min="6" max="6" width="17" hidden="0" customWidth="1"/>
    <x:col min="7" max="7" width="24" hidden="0" customWidth="1"/>
  </x:cols>
  <x:sheetData>
    <x:row r="1" ht="26" customHeight="1">
      <x:c r="A1" s="3" t="str">
        <x:v>Soil-Moisture Calibration — Raw Data</x:v>
      </x:c>
      <x:c r="B1" s="3"/>
      <x:c r="C1" s="3"/>
      <x:c r="D1" s="3"/>
      <x:c r="E1" s="3"/>
      <x:c r="F1" s="3"/>
      <x:c r="G1" s="3"/>
    </x:row>
    <x:row r="2" ht="34" customHeight="1">
      <x:c r="A2" s="6" t="str">
        <x:v>Three water-addition conditions; five independent sensor placements per condition. ADC is the mean of five rapid readings from the MicroPython script.</x:v>
      </x:c>
      <x:c r="B2" s="6"/>
      <x:c r="C2" s="6"/>
      <x:c r="D2" s="6"/>
      <x:c r="E2" s="6"/>
      <x:c r="F2" s="6"/>
      <x:c r="G2" s="6"/>
    </x:row>
    <x:row r="4" ht="30" customHeight="1">
      <x:c r="A4" s="10" t="str">
        <x:v>Condition</x:v>
      </x:c>
      <x:c r="B4" s="10" t="str">
        <x:v>Water added (g)</x:v>
      </x:c>
      <x:c r="C4" s="10" t="str">
        <x:v>Trial</x:v>
      </x:c>
      <x:c r="D4" s="10" t="str">
        <x:v>ADC reading</x:v>
      </x:c>
      <x:c r="E4" s="10" t="str">
        <x:v>Threshold</x:v>
      </x:c>
      <x:c r="F4" s="10" t="str">
        <x:v>System decision</x:v>
      </x:c>
      <x:c r="G4" s="10" t="str">
        <x:v>Validity note</x:v>
      </x:c>
    </x:row>
    <x:row r="5">
      <x:c r="A5" s="12" t="str">
        <x:v>A</x:v>
      </x:c>
      <x:c r="B5" s="12" t="n">
        <x:v>0</x:v>
      </x:c>
      <x:c r="C5" s="12" t="n">
        <x:v>1</x:v>
      </x:c>
      <x:c r="D5" s="13" t="n">
        <x:v>3057</x:v>
      </x:c>
      <x:c r="E5" s="13" t="n">
        <x:v>2200</x:v>
      </x:c>
      <x:c r="F5" s="11" t="str">
        <x:f>IF(D5&gt;=E5,"Pump ON","Pump OFF")</x:f>
        <x:v>Pump ON</x:v>
      </x:c>
      <x:c r="G5" s="11" t="str">
        <x:v>Valid formal reading</x:v>
      </x:c>
    </x:row>
    <x:row r="6">
      <x:c r="A6" s="12" t="str">
        <x:v>A</x:v>
      </x:c>
      <x:c r="B6" s="12" t="n">
        <x:v>0</x:v>
      </x:c>
      <x:c r="C6" s="12" t="n">
        <x:v>2</x:v>
      </x:c>
      <x:c r="D6" s="13" t="n">
        <x:v>3620</x:v>
      </x:c>
      <x:c r="E6" s="13" t="n">
        <x:v>2200</x:v>
      </x:c>
      <x:c r="F6" s="11" t="str">
        <x:f>IF(D6&gt;=E6,"Pump ON","Pump OFF")</x:f>
        <x:v>Pump ON</x:v>
      </x:c>
      <x:c r="G6" s="11" t="str">
        <x:v>Valid formal reading</x:v>
      </x:c>
    </x:row>
    <x:row r="7">
      <x:c r="A7" s="12" t="str">
        <x:v>A</x:v>
      </x:c>
      <x:c r="B7" s="12" t="n">
        <x:v>0</x:v>
      </x:c>
      <x:c r="C7" s="12" t="n">
        <x:v>3</x:v>
      </x:c>
      <x:c r="D7" s="13" t="n">
        <x:v>3220</x:v>
      </x:c>
      <x:c r="E7" s="13" t="n">
        <x:v>2200</x:v>
      </x:c>
      <x:c r="F7" s="11" t="str">
        <x:f>IF(D7&gt;=E7,"Pump ON","Pump OFF")</x:f>
        <x:v>Pump ON</x:v>
      </x:c>
      <x:c r="G7" s="11" t="str">
        <x:v>Valid formal reading</x:v>
      </x:c>
    </x:row>
    <x:row r="8">
      <x:c r="A8" s="12" t="str">
        <x:v>A</x:v>
      </x:c>
      <x:c r="B8" s="12" t="n">
        <x:v>0</x:v>
      </x:c>
      <x:c r="C8" s="12" t="n">
        <x:v>4</x:v>
      </x:c>
      <x:c r="D8" s="13" t="n">
        <x:v>3393</x:v>
      </x:c>
      <x:c r="E8" s="13" t="n">
        <x:v>2200</x:v>
      </x:c>
      <x:c r="F8" s="11" t="str">
        <x:f>IF(D8&gt;=E8,"Pump ON","Pump OFF")</x:f>
        <x:v>Pump ON</x:v>
      </x:c>
      <x:c r="G8" s="11" t="str">
        <x:v>Valid formal reading</x:v>
      </x:c>
    </x:row>
    <x:row r="9">
      <x:c r="A9" s="12" t="str">
        <x:v>A</x:v>
      </x:c>
      <x:c r="B9" s="12" t="n">
        <x:v>0</x:v>
      </x:c>
      <x:c r="C9" s="12" t="n">
        <x:v>5</x:v>
      </x:c>
      <x:c r="D9" s="13" t="n">
        <x:v>3079</x:v>
      </x:c>
      <x:c r="E9" s="13" t="n">
        <x:v>2200</x:v>
      </x:c>
      <x:c r="F9" s="11" t="str">
        <x:f>IF(D9&gt;=E9,"Pump ON","Pump OFF")</x:f>
        <x:v>Pump ON</x:v>
      </x:c>
      <x:c r="G9" s="11" t="str">
        <x:v>Valid formal reading</x:v>
      </x:c>
    </x:row>
    <x:row r="10">
      <x:c r="A10" s="12" t="str">
        <x:v>B</x:v>
      </x:c>
      <x:c r="B10" s="12" t="n">
        <x:v>20</x:v>
      </x:c>
      <x:c r="C10" s="12" t="n">
        <x:v>1</x:v>
      </x:c>
      <x:c r="D10" s="13" t="n">
        <x:v>1890</x:v>
      </x:c>
      <x:c r="E10" s="13" t="n">
        <x:v>2200</x:v>
      </x:c>
      <x:c r="F10" s="11" t="str">
        <x:f>IF(D10&gt;=E10,"Pump ON","Pump OFF")</x:f>
        <x:v>Pump OFF</x:v>
      </x:c>
      <x:c r="G10" s="11" t="str">
        <x:v>Valid formal reading</x:v>
      </x:c>
    </x:row>
    <x:row r="11">
      <x:c r="A11" s="12" t="str">
        <x:v>B</x:v>
      </x:c>
      <x:c r="B11" s="12" t="n">
        <x:v>20</x:v>
      </x:c>
      <x:c r="C11" s="12" t="n">
        <x:v>2</x:v>
      </x:c>
      <x:c r="D11" s="13" t="n">
        <x:v>1904</x:v>
      </x:c>
      <x:c r="E11" s="13" t="n">
        <x:v>2200</x:v>
      </x:c>
      <x:c r="F11" s="11" t="str">
        <x:f>IF(D11&gt;=E11,"Pump ON","Pump OFF")</x:f>
        <x:v>Pump OFF</x:v>
      </x:c>
      <x:c r="G11" s="11" t="str">
        <x:v>Valid formal reading</x:v>
      </x:c>
    </x:row>
    <x:row r="12">
      <x:c r="A12" s="12" t="str">
        <x:v>B</x:v>
      </x:c>
      <x:c r="B12" s="12" t="n">
        <x:v>20</x:v>
      </x:c>
      <x:c r="C12" s="12" t="n">
        <x:v>3</x:v>
      </x:c>
      <x:c r="D12" s="13" t="n">
        <x:v>1923</x:v>
      </x:c>
      <x:c r="E12" s="13" t="n">
        <x:v>2200</x:v>
      </x:c>
      <x:c r="F12" s="11" t="str">
        <x:f>IF(D12&gt;=E12,"Pump ON","Pump OFF")</x:f>
        <x:v>Pump OFF</x:v>
      </x:c>
      <x:c r="G12" s="11" t="str">
        <x:v>Valid formal reading</x:v>
      </x:c>
    </x:row>
    <x:row r="13">
      <x:c r="A13" s="12" t="str">
        <x:v>B</x:v>
      </x:c>
      <x:c r="B13" s="12" t="n">
        <x:v>20</x:v>
      </x:c>
      <x:c r="C13" s="12" t="n">
        <x:v>4</x:v>
      </x:c>
      <x:c r="D13" s="13" t="n">
        <x:v>1825</x:v>
      </x:c>
      <x:c r="E13" s="13" t="n">
        <x:v>2200</x:v>
      </x:c>
      <x:c r="F13" s="11" t="str">
        <x:f>IF(D13&gt;=E13,"Pump ON","Pump OFF")</x:f>
        <x:v>Pump OFF</x:v>
      </x:c>
      <x:c r="G13" s="11" t="str">
        <x:v>Valid formal reading</x:v>
      </x:c>
    </x:row>
    <x:row r="14">
      <x:c r="A14" s="12" t="str">
        <x:v>B</x:v>
      </x:c>
      <x:c r="B14" s="12" t="n">
        <x:v>20</x:v>
      </x:c>
      <x:c r="C14" s="12" t="n">
        <x:v>5</x:v>
      </x:c>
      <x:c r="D14" s="13" t="n">
        <x:v>1806</x:v>
      </x:c>
      <x:c r="E14" s="13" t="n">
        <x:v>2200</x:v>
      </x:c>
      <x:c r="F14" s="11" t="str">
        <x:f>IF(D14&gt;=E14,"Pump ON","Pump OFF")</x:f>
        <x:v>Pump OFF</x:v>
      </x:c>
      <x:c r="G14" s="11" t="str">
        <x:v>Valid formal reading</x:v>
      </x:c>
    </x:row>
    <x:row r="15">
      <x:c r="A15" s="12" t="str">
        <x:v>C</x:v>
      </x:c>
      <x:c r="B15" s="12" t="n">
        <x:v>40</x:v>
      </x:c>
      <x:c r="C15" s="12" t="n">
        <x:v>1</x:v>
      </x:c>
      <x:c r="D15" s="13" t="n">
        <x:v>1102</x:v>
      </x:c>
      <x:c r="E15" s="13" t="n">
        <x:v>2200</x:v>
      </x:c>
      <x:c r="F15" s="11" t="str">
        <x:f>IF(D15&gt;=E15,"Pump ON","Pump OFF")</x:f>
        <x:v>Pump OFF</x:v>
      </x:c>
      <x:c r="G15" s="11" t="str">
        <x:v>Valid formal reading</x:v>
      </x:c>
    </x:row>
    <x:row r="16">
      <x:c r="A16" s="12" t="str">
        <x:v>C</x:v>
      </x:c>
      <x:c r="B16" s="12" t="n">
        <x:v>40</x:v>
      </x:c>
      <x:c r="C16" s="12" t="n">
        <x:v>2</x:v>
      </x:c>
      <x:c r="D16" s="13" t="n">
        <x:v>1037</x:v>
      </x:c>
      <x:c r="E16" s="13" t="n">
        <x:v>2200</x:v>
      </x:c>
      <x:c r="F16" s="11" t="str">
        <x:f>IF(D16&gt;=E16,"Pump ON","Pump OFF")</x:f>
        <x:v>Pump OFF</x:v>
      </x:c>
      <x:c r="G16" s="11" t="str">
        <x:v>Valid formal reading</x:v>
      </x:c>
    </x:row>
    <x:row r="17">
      <x:c r="A17" s="12" t="str">
        <x:v>C</x:v>
      </x:c>
      <x:c r="B17" s="12" t="n">
        <x:v>40</x:v>
      </x:c>
      <x:c r="C17" s="12" t="n">
        <x:v>3</x:v>
      </x:c>
      <x:c r="D17" s="13" t="n">
        <x:v>1208</x:v>
      </x:c>
      <x:c r="E17" s="13" t="n">
        <x:v>2200</x:v>
      </x:c>
      <x:c r="F17" s="11" t="str">
        <x:f>IF(D17&gt;=E17,"Pump ON","Pump OFF")</x:f>
        <x:v>Pump OFF</x:v>
      </x:c>
      <x:c r="G17" s="11" t="str">
        <x:v>Valid formal reading</x:v>
      </x:c>
    </x:row>
    <x:row r="18">
      <x:c r="A18" s="12" t="str">
        <x:v>C</x:v>
      </x:c>
      <x:c r="B18" s="12" t="n">
        <x:v>40</x:v>
      </x:c>
      <x:c r="C18" s="12" t="n">
        <x:v>4</x:v>
      </x:c>
      <x:c r="D18" s="13" t="n">
        <x:v>1179</x:v>
      </x:c>
      <x:c r="E18" s="13" t="n">
        <x:v>2200</x:v>
      </x:c>
      <x:c r="F18" s="11" t="str">
        <x:f>IF(D18&gt;=E18,"Pump ON","Pump OFF")</x:f>
        <x:v>Pump OFF</x:v>
      </x:c>
      <x:c r="G18" s="11" t="str">
        <x:v>Valid formal reading</x:v>
      </x:c>
    </x:row>
    <x:row r="19">
      <x:c r="A19" s="12" t="str">
        <x:v>C</x:v>
      </x:c>
      <x:c r="B19" s="12" t="n">
        <x:v>40</x:v>
      </x:c>
      <x:c r="C19" s="12" t="n">
        <x:v>5</x:v>
      </x:c>
      <x:c r="D19" s="13" t="n">
        <x:v>1089</x:v>
      </x:c>
      <x:c r="E19" s="13" t="n">
        <x:v>2200</x:v>
      </x:c>
      <x:c r="F19" s="11" t="str">
        <x:f>IF(D19&gt;=E19,"Pump ON","Pump OFF")</x:f>
        <x:v>Pump OFF</x:v>
      </x:c>
      <x:c r="G19" s="11" t="str">
        <x:v>Valid formal reading</x:v>
      </x:c>
    </x:row>
    <x:row r="21" ht="46" customHeight="1">
      <x:c r="A21" s="16" t="str">
        <x:v>Quality-control note: Earlier saturated readings of 4095 were caused by a loose signal connection and were excluded before the formal five readings per condition were collected.</x:v>
      </x:c>
      <x:c r="B21" s="16"/>
      <x:c r="C21" s="16"/>
      <x:c r="D21" s="16"/>
      <x:c r="E21" s="16"/>
      <x:c r="F21" s="16"/>
      <x:c r="G21" s="16"/>
    </x:row>
  </x:sheetData>
  <x:mergeCells>
    <x:mergeCell ref="A1:G1"/>
    <x:mergeCell ref="A2:G2"/>
    <x:mergeCell ref="A21:G21"/>
  </x:mergeCells>
  <x:conditionalFormatting sqref="F5:F19">
    <x:cfRule type="expression" dxfId="0" priority="1">
      <x:formula>F5="Pump ON"</x:formula>
    </x:cfRule>
    <x:cfRule type="expression" dxfId="1" priority="2">
      <x:formula>F5="Pump OFF"</x:formula>
    </x:cfRule>
  </x:conditionalFormatting>
  <x:pageMargins left="0.7" right="0.7" top="0.75" bottom="0.75" header="0.3" footer="0.3"/>
  <x:tableParts count="1">
    <x:tablePart xmlns:r="http://schemas.openxmlformats.org/officeDocument/2006/relationships" r:id="Rc5619dfce8f347ce"/>
  </x:tableParts>
</x:worksheet>
</file>

<file path=xl/worksheets/sheet2.xml><?xml version="1.0" encoding="utf-8"?>
<x:worksheet xmlns:x="http://schemas.openxmlformats.org/spreadsheetml/2006/main">
  <x:sheetFormatPr defaultRowHeight="15"/>
  <x:cols>
    <x:col min="1" max="1" width="12" hidden="0" customWidth="1"/>
    <x:col min="2" max="2" width="16" hidden="0" customWidth="1"/>
    <x:col min="3" max="3" width="8" hidden="0" customWidth="1"/>
    <x:col min="4" max="4" width="14" hidden="0" customWidth="1"/>
    <x:col min="5" max="5" width="14" hidden="0" customWidth="1"/>
    <x:col min="6" max="6" width="14" hidden="0" customWidth="1"/>
    <x:col min="7" max="7" width="18" hidden="0" customWidth="1"/>
    <x:col min="8" max="8" width="16" hidden="0" customWidth="1"/>
    <x:col min="9" max="9" width="16" hidden="0" customWidth="1"/>
    <x:col min="10" max="10" width="15" hidden="0" customWidth="1"/>
    <x:col min="12" max="12" width="16" hidden="0" customWidth="1"/>
    <x:col min="13" max="13" width="16" hidden="0" customWidth="1"/>
    <x:col min="14" max="14" width="16" hidden="0" customWidth="1"/>
  </x:cols>
  <x:sheetData>
    <x:row r="1" ht="26" customHeight="1">
      <x:c r="A1" s="3" t="str">
        <x:v>Calibration Summary</x:v>
      </x:c>
      <x:c r="B1" s="3"/>
      <x:c r="C1" s="3"/>
      <x:c r="D1" s="3"/>
      <x:c r="E1" s="3"/>
      <x:c r="F1" s="3"/>
      <x:c r="G1" s="3"/>
      <x:c r="H1" s="3"/>
      <x:c r="I1" s="3"/>
      <x:c r="J1" s="3"/>
      <x:c r="L1" s="23" t="str">
        <x:v>System threshold</x:v>
      </x:c>
      <x:c r="M1" s="24" t="n">
        <x:v>2200</x:v>
      </x:c>
    </x:row>
    <x:row r="2" ht="28" customHeight="1">
      <x:c r="A2" s="6" t="str">
        <x:v>Range difference = maximum − minimum. Sample standard deviation uses STDEV.S. Threshold = 2200 ADC.</x:v>
      </x:c>
      <x:c r="B2" s="6"/>
      <x:c r="C2" s="6"/>
      <x:c r="D2" s="6"/>
      <x:c r="E2" s="6"/>
      <x:c r="F2" s="6"/>
      <x:c r="G2" s="6"/>
      <x:c r="H2" s="6"/>
      <x:c r="I2" s="6"/>
      <x:c r="J2" s="6"/>
    </x:row>
    <x:row r="4" ht="30" customHeight="1">
      <x:c r="A4" s="10" t="str">
        <x:v>Condition</x:v>
      </x:c>
      <x:c r="B4" s="10" t="str">
        <x:v>Water added (g)</x:v>
      </x:c>
      <x:c r="C4" s="10" t="str">
        <x:v>n</x:v>
      </x:c>
      <x:c r="D4" s="10" t="str">
        <x:v>Mean ADC</x:v>
      </x:c>
      <x:c r="E4" s="10" t="str">
        <x:v>Minimum</x:v>
      </x:c>
      <x:c r="F4" s="10" t="str">
        <x:v>Maximum</x:v>
      </x:c>
      <x:c r="G4" s="10" t="str">
        <x:v>Min–max</x:v>
      </x:c>
      <x:c r="H4" s="10" t="str">
        <x:v>Range difference</x:v>
      </x:c>
      <x:c r="I4" s="10" t="str">
        <x:v>Sample SD</x:v>
      </x:c>
      <x:c r="J4" s="10" t="str">
        <x:v>Pump-ON rate</x:v>
      </x:c>
      <x:c r="L4" s="10" t="str">
        <x:v>Water added (g)</x:v>
      </x:c>
      <x:c r="M4" s="10" t="str">
        <x:v>Mean ADC</x:v>
      </x:c>
      <x:c r="N4" s="10" t="str">
        <x:v>Threshold</x:v>
      </x:c>
    </x:row>
    <x:row r="5">
      <x:c r="A5" s="17" t="str">
        <x:v>A</x:v>
      </x:c>
      <x:c r="B5" s="17" t="n">
        <x:v>0</x:v>
      </x:c>
      <x:c r="C5" s="17" t="n">
        <x:f>COUNT('Raw Data'!$D$5:$D$9)</x:f>
        <x:v>5</x:v>
      </x:c>
      <x:c r="D5" s="18" t="n">
        <x:f>AVERAGE('Raw Data'!$D$5:$D$9)</x:f>
        <x:v>3273.8</x:v>
      </x:c>
      <x:c r="E5" s="19" t="n">
        <x:f>MIN('Raw Data'!$D$5:$D$9)</x:f>
        <x:v>3057</x:v>
      </x:c>
      <x:c r="F5" s="19" t="n">
        <x:f>MAX('Raw Data'!$D$5:$D$9)</x:f>
        <x:v>3620</x:v>
      </x:c>
      <x:c r="G5" s="17" t="str">
        <x:f>TEXT(MIN('Raw Data'!$D$5:$D$9),"0")&amp;"–"&amp;TEXT(MAX('Raw Data'!$D$5:$D$9),"0")</x:f>
        <x:v>3057–3620</x:v>
      </x:c>
      <x:c r="H5" s="19" t="n">
        <x:f>MAX('Raw Data'!$D$5:$D$9)-MIN('Raw Data'!$D$5:$D$9)</x:f>
        <x:v>563</x:v>
      </x:c>
      <x:c r="I5" s="18" t="n">
        <x:f>STDEV.S('Raw Data'!$D$5:$D$9)</x:f>
        <x:v>235.5349231005882</x:v>
      </x:c>
      <x:c r="J5" s="20" t="n">
        <x:f>COUNTIF('Raw Data'!$F$5:$F$9,"Pump ON")/COUNT('Raw Data'!$D$5:$D$9)</x:f>
        <x:v>1</x:v>
      </x:c>
      <x:c r="L5" t="n">
        <x:f>B5</x:f>
        <x:v>0</x:v>
      </x:c>
      <x:c r="M5" s="25" t="n">
        <x:f>D5</x:f>
        <x:v>3273.8</x:v>
      </x:c>
      <x:c r="N5" s="25" t="n">
        <x:f>$M$1</x:f>
        <x:v>2200</x:v>
      </x:c>
    </x:row>
    <x:row r="6">
      <x:c r="A6" s="17" t="str">
        <x:v>B</x:v>
      </x:c>
      <x:c r="B6" s="17" t="n">
        <x:v>20</x:v>
      </x:c>
      <x:c r="C6" s="17" t="n">
        <x:f>COUNT('Raw Data'!$D$10:$D$14)</x:f>
        <x:v>5</x:v>
      </x:c>
      <x:c r="D6" s="18" t="n">
        <x:f>AVERAGE('Raw Data'!$D$10:$D$14)</x:f>
        <x:v>1869.6</x:v>
      </x:c>
      <x:c r="E6" s="19" t="n">
        <x:f>MIN('Raw Data'!$D$10:$D$14)</x:f>
        <x:v>1806</x:v>
      </x:c>
      <x:c r="F6" s="19" t="n">
        <x:f>MAX('Raw Data'!$D$10:$D$14)</x:f>
        <x:v>1923</x:v>
      </x:c>
      <x:c r="G6" s="17" t="str">
        <x:f>TEXT(MIN('Raw Data'!$D$10:$D$14),"0")&amp;"–"&amp;TEXT(MAX('Raw Data'!$D$10:$D$14),"0")</x:f>
        <x:v>1806–1923</x:v>
      </x:c>
      <x:c r="H6" s="19" t="n">
        <x:f>MAX('Raw Data'!$D$10:$D$14)-MIN('Raw Data'!$D$10:$D$14)</x:f>
        <x:v>117</x:v>
      </x:c>
      <x:c r="I6" s="18" t="n">
        <x:f>STDEV.S('Raw Data'!$D$10:$D$14)</x:f>
        <x:v>51.19863279424559</x:v>
      </x:c>
      <x:c r="J6" s="20" t="n">
        <x:f>COUNTIF('Raw Data'!$F$10:$F$14,"Pump ON")/COUNT('Raw Data'!$D$10:$D$14)</x:f>
        <x:v>0</x:v>
      </x:c>
      <x:c r="L6" t="n">
        <x:f>B6</x:f>
        <x:v>20</x:v>
      </x:c>
      <x:c r="M6" s="25" t="n">
        <x:f>D6</x:f>
        <x:v>1869.6</x:v>
      </x:c>
      <x:c r="N6" s="25" t="n">
        <x:f>$M$1</x:f>
        <x:v>2200</x:v>
      </x:c>
    </x:row>
    <x:row r="7">
      <x:c r="A7" s="17" t="str">
        <x:v>C</x:v>
      </x:c>
      <x:c r="B7" s="17" t="n">
        <x:v>40</x:v>
      </x:c>
      <x:c r="C7" s="17" t="n">
        <x:f>COUNT('Raw Data'!$D$15:$D$19)</x:f>
        <x:v>5</x:v>
      </x:c>
      <x:c r="D7" s="18" t="n">
        <x:f>AVERAGE('Raw Data'!$D$15:$D$19)</x:f>
        <x:v>1123</x:v>
      </x:c>
      <x:c r="E7" s="19" t="n">
        <x:f>MIN('Raw Data'!$D$15:$D$19)</x:f>
        <x:v>1037</x:v>
      </x:c>
      <x:c r="F7" s="19" t="n">
        <x:f>MAX('Raw Data'!$D$15:$D$19)</x:f>
        <x:v>1208</x:v>
      </x:c>
      <x:c r="G7" s="17" t="str">
        <x:f>TEXT(MIN('Raw Data'!$D$15:$D$19),"0")&amp;"–"&amp;TEXT(MAX('Raw Data'!$D$15:$D$19),"0")</x:f>
        <x:v>1037–1208</x:v>
      </x:c>
      <x:c r="H7" s="19" t="n">
        <x:f>MAX('Raw Data'!$D$15:$D$19)-MIN('Raw Data'!$D$15:$D$19)</x:f>
        <x:v>171</x:v>
      </x:c>
      <x:c r="I7" s="18" t="n">
        <x:f>STDEV.S('Raw Data'!$D$15:$D$19)</x:f>
        <x:v>69.55932719628619</x:v>
      </x:c>
      <x:c r="J7" s="20" t="n">
        <x:f>COUNTIF('Raw Data'!$F$15:$F$19,"Pump ON")/COUNT('Raw Data'!$D$15:$D$19)</x:f>
        <x:v>0</x:v>
      </x:c>
      <x:c r="L7" t="n">
        <x:f>B7</x:f>
        <x:v>40</x:v>
      </x:c>
      <x:c r="M7" s="25" t="n">
        <x:f>D7</x:f>
        <x:v>1123</x:v>
      </x:c>
      <x:c r="N7" s="25" t="n">
        <x:f>$M$1</x:f>
        <x:v>2200</x:v>
      </x:c>
    </x:row>
    <x:row r="10">
      <x:c r="A10" s="23" t="str">
        <x:v>Interpretation</x:v>
      </x:c>
      <x:c r="B10" s="23"/>
      <x:c r="C10" s="23"/>
      <x:c r="D10" s="23"/>
      <x:c r="E10" s="23"/>
      <x:c r="F10" s="23"/>
      <x:c r="G10" s="23"/>
      <x:c r="H10" s="23"/>
      <x:c r="I10" s="23"/>
      <x:c r="J10" s="23"/>
    </x:row>
    <x:row r="11">
      <x:c r="A11" s="27" t="str">
        <x:v>Under these controlled cup conditions, 0 g water produced readings above the 2200 threshold, while both 20 g and 40 g produced readings below it. The threshold therefore separated the dry condition from the two watered conditions in this preliminary experiment. This does not yet prove the threshold is suitable for every soil type, plant, or long-term watering schedule.</x:v>
      </x:c>
      <x:c r="B11" s="27"/>
      <x:c r="C11" s="27"/>
      <x:c r="D11" s="27"/>
      <x:c r="E11" s="27"/>
      <x:c r="F11" s="27"/>
      <x:c r="G11" s="27"/>
      <x:c r="H11" s="27"/>
      <x:c r="I11" s="27"/>
      <x:c r="J11" s="27"/>
    </x:row>
    <x:row r="12">
      <x:c r="A12" s="27"/>
      <x:c r="B12" s="27"/>
      <x:c r="C12" s="27"/>
      <x:c r="D12" s="27"/>
      <x:c r="E12" s="27"/>
      <x:c r="F12" s="27"/>
      <x:c r="G12" s="27"/>
      <x:c r="H12" s="27"/>
      <x:c r="I12" s="27"/>
      <x:c r="J12" s="27"/>
    </x:row>
    <x:row r="13">
      <x:c r="A13" s="27"/>
      <x:c r="B13" s="27"/>
      <x:c r="C13" s="27"/>
      <x:c r="D13" s="27"/>
      <x:c r="E13" s="27"/>
      <x:c r="F13" s="27"/>
      <x:c r="G13" s="27"/>
      <x:c r="H13" s="27"/>
      <x:c r="I13" s="27"/>
      <x:c r="J13" s="27"/>
    </x:row>
  </x:sheetData>
  <x:mergeCells>
    <x:mergeCell ref="A1:J1"/>
    <x:mergeCell ref="A2:J2"/>
    <x:mergeCell ref="A10:J10"/>
    <x:mergeCell ref="A11:J13"/>
  </x:mergeCells>
  <x:conditionalFormatting sqref="A5:J7">
    <x:cfRule type="expression" dxfId="2" priority="1">
      <x:formula>$A5="A"</x:formula>
    </x:cfRule>
    <x:cfRule type="expression" dxfId="3" priority="2">
      <x:formula>$A5="B"</x:formula>
    </x:cfRule>
    <x:cfRule type="expression" dxfId="4" priority="3">
      <x:formula>$A5="C"</x:formula>
    </x:cfRule>
  </x:conditionalFormatting>
  <x:pageMargins left="0.7" right="0.7" top="0.75" bottom="0.75" header="0.3" footer="0.3"/>
  <x:drawing xmlns:r="http://schemas.openxmlformats.org/officeDocument/2006/relationships" r:id="R8dfd9e3324534ba7"/>
  <x:tableParts count="1">
    <x:tablePart xmlns:r="http://schemas.openxmlformats.org/officeDocument/2006/relationships" r:id="R23870626ec154aae"/>
  </x:tableParts>
</x:worksheet>
</file>

<file path=xl/worksheets/sheet3.xml><?xml version="1.0" encoding="utf-8"?>
<x:worksheet xmlns:x="http://schemas.openxmlformats.org/spreadsheetml/2006/main">
  <x:sheetFormatPr defaultRowHeight="15"/>
  <x:cols>
    <x:col min="1" max="1" width="24" hidden="0" customWidth="1"/>
    <x:col min="2" max="2" width="88" hidden="0" customWidth="1"/>
  </x:cols>
  <x:sheetData>
    <x:row r="1" ht="26" customHeight="1">
      <x:c r="A1" s="3" t="str">
        <x:v>Experimental Protocol and Audit Notes</x:v>
      </x:c>
      <x:c r="B1" s="3"/>
    </x:row>
    <x:row r="3" ht="30" customHeight="1">
      <x:c r="A3" s="10" t="str">
        <x:v>Item</x:v>
      </x:c>
      <x:c r="B3" s="10" t="str">
        <x:v>Recorded method / decision</x:v>
      </x:c>
    </x:row>
    <x:row r="4" ht="42" customHeight="1">
      <x:c r="A4" s="30" t="str">
        <x:v>Research question</x:v>
      </x:c>
      <x:c r="B4" s="32" t="str">
        <x:v>How does added water mass affect the soil-moisture sensor's ADC reading, and can a 2200 threshold distinguish dry from watered samples?</x:v>
      </x:c>
    </x:row>
    <x:row r="5" ht="42" customHeight="1">
      <x:c r="A5" s="30" t="str">
        <x:v>Independent variable</x:v>
      </x:c>
      <x:c r="B5" s="32" t="str">
        <x:v>Water added: 0 g, 20 g, or 40 g.</x:v>
      </x:c>
    </x:row>
    <x:row r="6" ht="42" customHeight="1">
      <x:c r="A6" s="30" t="str">
        <x:v>Dependent variable</x:v>
      </x:c>
      <x:c r="B6" s="32" t="str">
        <x:v>ADC reading from the soil-moisture sensor.</x:v>
      </x:c>
    </x:row>
    <x:row r="7" ht="42" customHeight="1">
      <x:c r="A7" s="30" t="str">
        <x:v>Controlled variables</x:v>
      </x:c>
      <x:c r="B7" s="32" t="str">
        <x:v>Same cup type, same growing medium, approximately equal material height, same sensor, 4 cm insertion depth, same waiting period, and same MicroPython code.</x:v>
      </x:c>
    </x:row>
    <x:row r="8" ht="42" customHeight="1">
      <x:c r="A8" s="30" t="str">
        <x:v>Replicates</x:v>
      </x:c>
      <x:c r="B8" s="32" t="str">
        <x:v>Five independent sensor positions per condition (n = 5 per condition; 15 observations total).</x:v>
      </x:c>
    </x:row>
    <x:row r="9" ht="42" customHeight="1">
      <x:c r="A9" s="30" t="str">
        <x:v>Sensor averaging</x:v>
      </x:c>
      <x:c r="B9" s="32" t="str">
        <x:v>Each displayed ADC value was already the integer mean of five rapid ADC readings collected 100 ms apart.</x:v>
      </x:c>
    </x:row>
    <x:row r="10" ht="42" customHeight="1">
      <x:c r="A10" s="30" t="str">
        <x:v>Sample preparation</x:v>
      </x:c>
      <x:c r="B10" s="32" t="str">
        <x:v>Mix each sample after adding water and wait about 10 minutes before measurement.</x:v>
      </x:c>
    </x:row>
    <x:row r="11" ht="42" customHeight="1">
      <x:c r="A11" s="30" t="str">
        <x:v>Measurement procedure</x:v>
      </x:c>
      <x:c r="B11" s="32" t="str">
        <x:v>Insert the sensor to the 4 cm mark, wait for the reading to settle, record one displayed ADC value, remove it, and repeat at a different location.</x:v>
      </x:c>
    </x:row>
    <x:row r="12" ht="42" customHeight="1">
      <x:c r="A12" s="30" t="str">
        <x:v>Decision rule</x:v>
      </x:c>
      <x:c r="B12" s="32" t="str">
        <x:v>ADC ≥ 2200: Pump ON; ADC &lt; 2200: Pump OFF.</x:v>
      </x:c>
    </x:row>
    <x:row r="13" ht="42" customHeight="1">
      <x:c r="A13" s="30" t="str">
        <x:v>Excluded readings</x:v>
      </x:c>
      <x:c r="B13" s="32" t="str">
        <x:v>4095 readings observed before formal measurement were excluded because reconnecting a loose signal wire restored variable readings.</x:v>
      </x:c>
    </x:row>
    <x:row r="14" ht="42" customHeight="1">
      <x:c r="A14" s="30" t="str">
        <x:v>Photographic evidence</x:v>
      </x:c>
      <x:c r="B14" s="32" t="str">
        <x:v>Photos show the cups, sensor placement, program, and ADC output. A short video is optional; the numerical table is the primary evidence.</x:v>
      </x:c>
    </x:row>
    <x:row r="15" ht="42" customHeight="1">
      <x:c r="A15" s="30" t="str">
        <x:v>Main limitation</x:v>
      </x:c>
      <x:c r="B15" s="32" t="str">
        <x:v>One sensor and one prepared cup per water condition were used. The five placements are repeated measurements within each cup, not five independently prepared cups.</x:v>
      </x:c>
    </x:row>
  </x:sheetData>
  <x:mergeCells>
    <x:mergeCell ref="A1:B1"/>
  </x:mergeCell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45" hidden="0" customWidth="1"/>
    <x:col min="3" max="3" width="74" hidden="0" customWidth="1"/>
  </x:cols>
  <x:sheetData>
    <x:row r="1" ht="26" customHeight="1">
      <x:c r="A1" s="3" t="str">
        <x:v>How to Write the Research Report</x:v>
      </x:c>
      <x:c r="B1" s="3"/>
      <x:c r="C1" s="3"/>
    </x:row>
    <x:row r="3" ht="30" customHeight="1">
      <x:c r="A3" s="10" t="str">
        <x:v>Section</x:v>
      </x:c>
      <x:c r="B3" s="10" t="str">
        <x:v>What to include</x:v>
      </x:c>
      <x:c r="C3" s="10" t="str">
        <x:v>Suggested content for this project</x:v>
      </x:c>
    </x:row>
    <x:row r="4" ht="56" customHeight="1">
      <x:c r="A4" s="30" t="str">
        <x:v>1. Title</x:v>
      </x:c>
      <x:c r="B4" s="32" t="str">
        <x:v>Name the sensor, variable, and purpose.</x:v>
      </x:c>
      <x:c r="C4" s="32" t="str">
        <x:v>Calibration of an ESP32 Soil-Moisture Sensor Using Controlled Water Addition</x:v>
      </x:c>
    </x:row>
    <x:row r="5" ht="56" customHeight="1">
      <x:c r="A5" s="30" t="str">
        <x:v>2. Research question</x:v>
      </x:c>
      <x:c r="B5" s="32" t="str">
        <x:v>State one measurable question.</x:v>
      </x:c>
      <x:c r="C5" s="32" t="str">
        <x:v>How does adding 0 g, 20 g, or 40 g of water change ADC readings, and can threshold 2200 distinguish dry from watered samples?</x:v>
      </x:c>
    </x:row>
    <x:row r="6" ht="56" customHeight="1">
      <x:c r="A6" s="30" t="str">
        <x:v>3. Hypothesis</x:v>
      </x:c>
      <x:c r="B6" s="32" t="str">
        <x:v>Predict the direction before discussing results.</x:v>
      </x:c>
      <x:c r="C6" s="32" t="str">
        <x:v>As water mass increases, ADC readings will decrease; dry samples should exceed 2200.</x:v>
      </x:c>
    </x:row>
    <x:row r="7" ht="56" customHeight="1">
      <x:c r="A7" s="30" t="str">
        <x:v>4. Materials</x:v>
      </x:c>
      <x:c r="B7" s="32" t="str">
        <x:v>List only what was actually used.</x:v>
      </x:c>
      <x:c r="C7" s="32" t="str">
        <x:v>ESP32, resistive soil-moisture sensor, USB cable, computer with Thonny, three plastic cups, same growing medium, water dispenser/scale, ruler, labels.</x:v>
      </x:c>
    </x:row>
    <x:row r="8" ht="56" customHeight="1">
      <x:c r="A8" s="30" t="str">
        <x:v>5. Method</x:v>
      </x:c>
      <x:c r="B8" s="32" t="str">
        <x:v>Write enough detail for someone to repeat it.</x:v>
      </x:c>
      <x:c r="C8" s="32" t="str">
        <x:v>Describe equal sample height, 0/20/40 g water, mixing, 10-minute wait, 4 cm insertion, five positions, and the averaging code.</x:v>
      </x:c>
    </x:row>
    <x:row r="9" ht="56" customHeight="1">
      <x:c r="A9" s="30" t="str">
        <x:v>6. Results</x:v>
      </x:c>
      <x:c r="B9" s="32" t="str">
        <x:v>Show raw data and summary statistics without explaining causes yet.</x:v>
      </x:c>
      <x:c r="C9" s="32" t="str">
        <x:v>Insert the Analysis table and the mean-ADC chart. Report mean ± sample SD and min–max.</x:v>
      </x:c>
    </x:row>
    <x:row r="10" ht="56" customHeight="1">
      <x:c r="A10" s="30" t="str">
        <x:v>7. Discussion</x:v>
      </x:c>
      <x:c r="B10" s="32" t="str">
        <x:v>Explain what the pattern means and whether it supports the hypothesis.</x:v>
      </x:c>
      <x:c r="C10" s="32" t="str">
        <x:v>ADC decreased from 3273.8 to 1869.6 and 1123.0 as water increased. Threshold 2200 separated the dry sample from both watered samples in this test.</x:v>
      </x:c>
    </x:row>
    <x:row r="11" ht="56" customHeight="1">
      <x:c r="A11" s="30" t="str">
        <x:v>8. Error and limitations</x:v>
      </x:c>
      <x:c r="B11" s="32" t="str">
        <x:v>State specific weaknesses and their likely effect.</x:v>
      </x:c>
      <x:c r="C11" s="32" t="str">
        <x:v>Sensor contact, uneven mixing, one cup per condition, resistive-sensor corrosion, and initial loose-wire readings may affect precision and generalization.</x:v>
      </x:c>
    </x:row>
    <x:row r="12" ht="56" customHeight="1">
      <x:c r="A12" s="30" t="str">
        <x:v>9. Conclusion</x:v>
      </x:c>
      <x:c r="B12" s="32" t="str">
        <x:v>Answer the question in 2–4 sentences.</x:v>
      </x:c>
      <x:c r="C12" s="32" t="str">
        <x:v>The data support the predicted inverse relationship. A threshold of 2200 worked for these prepared samples, but more soil types and independently prepared replicates are needed before deployment.</x:v>
      </x:c>
    </x:row>
    <x:row r="13" ht="56" customHeight="1">
      <x:c r="A13" s="30" t="str">
        <x:v>10. Appendix / evidence</x:v>
      </x:c>
      <x:c r="B13" s="32" t="str">
        <x:v>Include supporting material that would interrupt the main report.</x:v>
      </x:c>
      <x:c r="C13" s="32" t="str">
        <x:v>Raw ADC table, code screenshot or file, setup photos, and a note explaining why invalid 4095 readings were excluded.</x:v>
      </x:c>
    </x:row>
  </x:sheetData>
  <x:mergeCells>
    <x:mergeCell ref="A1:C1"/>
  </x:mergeCells>
  <x:pageMargins left="0.7" right="0.7" top="0.75" bottom="0.75" header="0.3" footer="0.3"/>
</x:worksheet>
</file>